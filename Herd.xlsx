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P Stan/Dropbox/Personal/Cattle Stuff/Red Angus/"/>
    </mc:Choice>
  </mc:AlternateContent>
  <xr:revisionPtr revIDLastSave="0" documentId="13_ncr:1_{E6209DBB-966F-4A45-BB21-FE1BBEF18798}" xr6:coauthVersionLast="47" xr6:coauthVersionMax="47" xr10:uidLastSave="{00000000-0000-0000-0000-000000000000}"/>
  <bookViews>
    <workbookView xWindow="2160" yWindow="1020" windowWidth="26200" windowHeight="15460" activeTab="2" xr2:uid="{00000000-000D-0000-FFFF-FFFF00000000}"/>
  </bookViews>
  <sheets>
    <sheet name="Cows" sheetId="1" r:id="rId1"/>
    <sheet name="Bulls" sheetId="2" r:id="rId2"/>
    <sheet name="Owned Semen" sheetId="3" r:id="rId3"/>
    <sheet name="Fall 2025 AI Plans by Cow" sheetId="4" r:id="rId4"/>
    <sheet name="Fall 2025 AI Plans by Bull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" l="1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G55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G51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G47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G43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G39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G35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G31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G27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G23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G19" i="3"/>
  <c r="K28" i="2" l="1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J24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J20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J16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J12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J8" i="2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I86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I82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I78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I74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I70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I66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I62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I58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I54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I50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I46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I42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I38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I34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I30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I26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I22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I18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I14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I10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I6" i="1"/>
</calcChain>
</file>

<file path=xl/sharedStrings.xml><?xml version="1.0" encoding="utf-8"?>
<sst xmlns="http://schemas.openxmlformats.org/spreadsheetml/2006/main" count="831" uniqueCount="376">
  <si>
    <t>RAAA#</t>
  </si>
  <si>
    <t>RegType</t>
  </si>
  <si>
    <t>Sex</t>
  </si>
  <si>
    <t>AnimalID</t>
  </si>
  <si>
    <t>Name</t>
  </si>
  <si>
    <t>DOB</t>
  </si>
  <si>
    <t>BrdCds</t>
  </si>
  <si>
    <t>ProS</t>
  </si>
  <si>
    <t>HB</t>
  </si>
  <si>
    <t>GM</t>
  </si>
  <si>
    <t>CE</t>
  </si>
  <si>
    <t>BW</t>
  </si>
  <si>
    <t>WW</t>
  </si>
  <si>
    <t>YW</t>
  </si>
  <si>
    <t>ADG</t>
  </si>
  <si>
    <t>DMI</t>
  </si>
  <si>
    <t>MM</t>
  </si>
  <si>
    <t>ME</t>
  </si>
  <si>
    <t>HPG</t>
  </si>
  <si>
    <t>CEM</t>
  </si>
  <si>
    <t>STAY</t>
  </si>
  <si>
    <t>Marb</t>
  </si>
  <si>
    <t>YG</t>
  </si>
  <si>
    <t>CW</t>
  </si>
  <si>
    <t>REA</t>
  </si>
  <si>
    <t>BF</t>
  </si>
  <si>
    <t>R</t>
  </si>
  <si>
    <t>322H</t>
  </si>
  <si>
    <t>REDHILL E608 PRIMROSE 322H</t>
  </si>
  <si>
    <t>10-07-2020</t>
  </si>
  <si>
    <t>100% AR</t>
  </si>
  <si>
    <t>87J</t>
  </si>
  <si>
    <t>REDHILL EXCEL REDPRIDE 87J</t>
  </si>
  <si>
    <t>01-17-2021</t>
  </si>
  <si>
    <t>19J</t>
  </si>
  <si>
    <t>REDHILL E608 AMBER 19J</t>
  </si>
  <si>
    <t>01-06-2021</t>
  </si>
  <si>
    <t>J21</t>
  </si>
  <si>
    <t>ROGERS MS JOEY J21</t>
  </si>
  <si>
    <t>09-02-2021</t>
  </si>
  <si>
    <t>5K</t>
  </si>
  <si>
    <t>4HFF 5K</t>
  </si>
  <si>
    <t>01-04-2022</t>
  </si>
  <si>
    <t>200K</t>
  </si>
  <si>
    <t>REDHILL 047G BARMAID 200K</t>
  </si>
  <si>
    <t>02-14-2022</t>
  </si>
  <si>
    <t>K20</t>
  </si>
  <si>
    <t>ROGERS MS KATHRYN K20</t>
  </si>
  <si>
    <t>09-07-2022</t>
  </si>
  <si>
    <t>K24</t>
  </si>
  <si>
    <t>ROGERS MS KAREN K24</t>
  </si>
  <si>
    <t>116L</t>
  </si>
  <si>
    <t>DIX FLORA E7316 116L</t>
  </si>
  <si>
    <t>01-24-2023</t>
  </si>
  <si>
    <t>511L</t>
  </si>
  <si>
    <t>OSBORN BARMAID 511L</t>
  </si>
  <si>
    <t>03-02-2023</t>
  </si>
  <si>
    <t>01L</t>
  </si>
  <si>
    <t>HIDDEN HILLS 047G ROSE 01L</t>
  </si>
  <si>
    <t>01-09-2023</t>
  </si>
  <si>
    <t>35L</t>
  </si>
  <si>
    <t>REDHILL REVOLU INDIGO 35L</t>
  </si>
  <si>
    <t>01-05-2023</t>
  </si>
  <si>
    <t>03M</t>
  </si>
  <si>
    <t>HIDDEN HILLS BARMAID 03M</t>
  </si>
  <si>
    <t>01-10-2024</t>
  </si>
  <si>
    <t>NIO ALANA 4032</t>
  </si>
  <si>
    <t>01-09-2024</t>
  </si>
  <si>
    <t>Field Tag</t>
  </si>
  <si>
    <t>List of Cow numbers</t>
  </si>
  <si>
    <t>BULL</t>
  </si>
  <si>
    <t>K467</t>
  </si>
  <si>
    <t>HALFMANN TOP TIER K467</t>
  </si>
  <si>
    <t>02-24-2022</t>
  </si>
  <si>
    <t>06M</t>
  </si>
  <si>
    <t>HIDDEN HILLS FOCUS 06M</t>
  </si>
  <si>
    <t>10-25-2024</t>
  </si>
  <si>
    <t>08N</t>
  </si>
  <si>
    <t>HIDDEN HILLS GOLD 08N</t>
  </si>
  <si>
    <t>02-02-2025</t>
  </si>
  <si>
    <t>Bull numbers:</t>
  </si>
  <si>
    <t>Rocky</t>
  </si>
  <si>
    <t>08M</t>
  </si>
  <si>
    <t>$Profit</t>
  </si>
  <si>
    <t>$Ranch</t>
  </si>
  <si>
    <t>PROS</t>
  </si>
  <si>
    <t>CED</t>
  </si>
  <si>
    <t>Milk</t>
  </si>
  <si>
    <t>FAT</t>
  </si>
  <si>
    <t>PM1</t>
  </si>
  <si>
    <t xml:space="preserve">      20 units </t>
  </si>
  <si>
    <t xml:space="preserve">      10 units </t>
  </si>
  <si>
    <t xml:space="preserve">                5 Units </t>
  </si>
  <si>
    <t>3925037 </t>
  </si>
  <si>
    <t>Qty</t>
  </si>
  <si>
    <t>Bull Name</t>
  </si>
  <si>
    <t>RAA#</t>
  </si>
  <si>
    <t>322H - 8177F</t>
  </si>
  <si>
    <t>REDHILL E608 PRIMROSE 322H - LSF SRR PRESIDENT 8177F</t>
  </si>
  <si>
    <t>PM2</t>
  </si>
  <si>
    <t>322H - 6305</t>
  </si>
  <si>
    <t>REDHILL E608 PRIMROSE 322H - 9 MILE FRANCHISE 6305</t>
  </si>
  <si>
    <t>PM3</t>
  </si>
  <si>
    <t>322H - H302</t>
  </si>
  <si>
    <t>REDHILL E608 PRIMROSE 322H - BIEBER BLUE CHIP H302</t>
  </si>
  <si>
    <t>PM4</t>
  </si>
  <si>
    <t>322H - 195C</t>
  </si>
  <si>
    <t>REDHILL E608 PRIMROSE 322H - 5L GENUINE 1603-195C</t>
  </si>
  <si>
    <t>PM5</t>
  </si>
  <si>
    <t>322H - 76B</t>
  </si>
  <si>
    <t>REDHILL E608 PRIMROSE 322H - LSF RHO NIGHT FOCUS 76B</t>
  </si>
  <si>
    <t>PM6</t>
  </si>
  <si>
    <t>322H - 4M</t>
  </si>
  <si>
    <t>REDHILL E608 PRIMROSE 322H - REDHILL JOURNEYMAN 4M</t>
  </si>
  <si>
    <t>PM7</t>
  </si>
  <si>
    <t>87J - 8177F</t>
  </si>
  <si>
    <t>REDHILL EXCEL REDPRIDE 87J - LSF SRR PRESIDENT 8177F</t>
  </si>
  <si>
    <t>PM8</t>
  </si>
  <si>
    <t>87J - 6305</t>
  </si>
  <si>
    <t>REDHILL EXCEL REDPRIDE 87J - 9 MILE FRANCHISE 6305</t>
  </si>
  <si>
    <t>PM9</t>
  </si>
  <si>
    <t>87J - H302</t>
  </si>
  <si>
    <t>REDHILL EXCEL REDPRIDE 87J - BIEBER BLUE CHIP H302</t>
  </si>
  <si>
    <t>PM10</t>
  </si>
  <si>
    <t>87J - 195C</t>
  </si>
  <si>
    <t>REDHILL EXCEL REDPRIDE 87J - 5L GENUINE 1603-195C</t>
  </si>
  <si>
    <t>PM11</t>
  </si>
  <si>
    <t>87J - 76B</t>
  </si>
  <si>
    <t>REDHILL EXCEL REDPRIDE 87J - LSF RHO NIGHT FOCUS 76B</t>
  </si>
  <si>
    <t>PM12</t>
  </si>
  <si>
    <t>87J - 4M</t>
  </si>
  <si>
    <t>REDHILL EXCEL REDPRIDE 87J - REDHILL JOURNEYMAN 4M</t>
  </si>
  <si>
    <t>PM13</t>
  </si>
  <si>
    <t>511L - 8177F</t>
  </si>
  <si>
    <t>OSBORN BARMAID 511L - LSF SRR PRESIDENT 8177F</t>
  </si>
  <si>
    <t>PM14</t>
  </si>
  <si>
    <t>511L - 6305</t>
  </si>
  <si>
    <t>OSBORN BARMAID 511L - 9 MILE FRANCHISE 6305</t>
  </si>
  <si>
    <t>PM15</t>
  </si>
  <si>
    <t>511L - H302</t>
  </si>
  <si>
    <t>OSBORN BARMAID 511L - BIEBER BLUE CHIP H302</t>
  </si>
  <si>
    <t>PM16</t>
  </si>
  <si>
    <t>511L - 195C</t>
  </si>
  <si>
    <t>OSBORN BARMAID 511L - 5L GENUINE 1603-195C</t>
  </si>
  <si>
    <t>PM17</t>
  </si>
  <si>
    <t>511L - 76B</t>
  </si>
  <si>
    <t>OSBORN BARMAID 511L - LSF RHO NIGHT FOCUS 76B</t>
  </si>
  <si>
    <t>PM18</t>
  </si>
  <si>
    <t>511L - 4M</t>
  </si>
  <si>
    <t>OSBORN BARMAID 511L - REDHILL JOURNEYMAN 4M</t>
  </si>
  <si>
    <t>PM19</t>
  </si>
  <si>
    <t>35L - 8177F</t>
  </si>
  <si>
    <t>REDHILL REVOLU INDIGO 35L - LSF SRR PRESIDENT 8177F</t>
  </si>
  <si>
    <t>PM20</t>
  </si>
  <si>
    <t>35L - 6305</t>
  </si>
  <si>
    <t>REDHILL REVOLU INDIGO 35L - 9 MILE FRANCHISE 6305</t>
  </si>
  <si>
    <t>PM21</t>
  </si>
  <si>
    <t>35L - H302</t>
  </si>
  <si>
    <t>REDHILL REVOLU INDIGO 35L - BIEBER BLUE CHIP H302</t>
  </si>
  <si>
    <t>PM22</t>
  </si>
  <si>
    <t>35L - 195C</t>
  </si>
  <si>
    <t>REDHILL REVOLU INDIGO 35L - 5L GENUINE 1603-195C</t>
  </si>
  <si>
    <t>PM23</t>
  </si>
  <si>
    <t>35L - 76B</t>
  </si>
  <si>
    <t>REDHILL REVOLU INDIGO 35L - LSF RHO NIGHT FOCUS 76B</t>
  </si>
  <si>
    <t>PM24</t>
  </si>
  <si>
    <t>35L - 4M</t>
  </si>
  <si>
    <t>REDHILL REVOLU INDIGO 35L - REDHILL JOURNEYMAN 4M</t>
  </si>
  <si>
    <t>PM25</t>
  </si>
  <si>
    <t>200K - 8177F</t>
  </si>
  <si>
    <t>REDHILL 047G BARMAID 200K - LSF SRR PRESIDENT 8177F</t>
  </si>
  <si>
    <t>PM26</t>
  </si>
  <si>
    <t>200K - 6305</t>
  </si>
  <si>
    <t>REDHILL 047G BARMAID 200K - 9 MILE FRANCHISE 6305</t>
  </si>
  <si>
    <t>PM27</t>
  </si>
  <si>
    <t>200K - H302</t>
  </si>
  <si>
    <t>REDHILL 047G BARMAID 200K - BIEBER BLUE CHIP H302</t>
  </si>
  <si>
    <t>PM28</t>
  </si>
  <si>
    <t>200K - 195C</t>
  </si>
  <si>
    <t>REDHILL 047G BARMAID 200K - 5L GENUINE 1603-195C</t>
  </si>
  <si>
    <t>PM29</t>
  </si>
  <si>
    <t>200K - 76B</t>
  </si>
  <si>
    <t>REDHILL 047G BARMAID 200K - LSF RHO NIGHT FOCUS 76B</t>
  </si>
  <si>
    <t>PM30</t>
  </si>
  <si>
    <t>200K - 4M</t>
  </si>
  <si>
    <t>REDHILL 047G BARMAID 200K - REDHILL JOURNEYMAN 4M</t>
  </si>
  <si>
    <t>PM31</t>
  </si>
  <si>
    <t>116L - 8177F</t>
  </si>
  <si>
    <t>DIX FLORA E7316 116L - LSF SRR PRESIDENT 8177F</t>
  </si>
  <si>
    <t>PM32</t>
  </si>
  <si>
    <t>116L - 6305</t>
  </si>
  <si>
    <t>DIX FLORA E7316 116L - 9 MILE FRANCHISE 6305</t>
  </si>
  <si>
    <t>PM33</t>
  </si>
  <si>
    <t>116L - H302</t>
  </si>
  <si>
    <t>DIX FLORA E7316 116L - BIEBER BLUE CHIP H302</t>
  </si>
  <si>
    <t>PM34</t>
  </si>
  <si>
    <t>116L - 195C</t>
  </si>
  <si>
    <t>DIX FLORA E7316 116L - 5L GENUINE 1603-195C</t>
  </si>
  <si>
    <t>PM35</t>
  </si>
  <si>
    <t>116L - 76B</t>
  </si>
  <si>
    <t>DIX FLORA E7316 116L - LSF RHO NIGHT FOCUS 76B</t>
  </si>
  <si>
    <t>PM36</t>
  </si>
  <si>
    <t>116L - 4M</t>
  </si>
  <si>
    <t>DIX FLORA E7316 116L - REDHILL JOURNEYMAN 4M</t>
  </si>
  <si>
    <t>PM37</t>
  </si>
  <si>
    <t>5K - 8177F</t>
  </si>
  <si>
    <t>4HFF 5K - LSF SRR PRESIDENT 8177F</t>
  </si>
  <si>
    <t>PM38</t>
  </si>
  <si>
    <t>5K - 6305</t>
  </si>
  <si>
    <t>4HFF 5K - 9 MILE FRANCHISE 6305</t>
  </si>
  <si>
    <t>PM39</t>
  </si>
  <si>
    <t>5K - H302</t>
  </si>
  <si>
    <t>4HFF 5K - BIEBER BLUE CHIP H302</t>
  </si>
  <si>
    <t>PM40</t>
  </si>
  <si>
    <t>5K - 195C</t>
  </si>
  <si>
    <t>4HFF 5K - 5L GENUINE 1603-195C</t>
  </si>
  <si>
    <t>PM41</t>
  </si>
  <si>
    <t>5K - 76B</t>
  </si>
  <si>
    <t>4HFF 5K - LSF RHO NIGHT FOCUS 76B</t>
  </si>
  <si>
    <t>PM42</t>
  </si>
  <si>
    <t>5K - 4M</t>
  </si>
  <si>
    <t>4HFF 5K - REDHILL JOURNEYMAN 4M</t>
  </si>
  <si>
    <t>PM43</t>
  </si>
  <si>
    <t>K20 - 8177F</t>
  </si>
  <si>
    <t>ROGERS MS KATHRYN K20 - LSF SRR PRESIDENT 8177F</t>
  </si>
  <si>
    <t>PM44</t>
  </si>
  <si>
    <t>K20 - 6305</t>
  </si>
  <si>
    <t>ROGERS MS KATHRYN K20 - 9 MILE FRANCHISE 6305</t>
  </si>
  <si>
    <t>PM45</t>
  </si>
  <si>
    <t>K20 - H302</t>
  </si>
  <si>
    <t>ROGERS MS KATHRYN K20 - BIEBER BLUE CHIP H302</t>
  </si>
  <si>
    <t>PM46</t>
  </si>
  <si>
    <t>K20 - 195C</t>
  </si>
  <si>
    <t>ROGERS MS KATHRYN K20 - 5L GENUINE 1603-195C</t>
  </si>
  <si>
    <t>PM47</t>
  </si>
  <si>
    <t>K20 - 76B</t>
  </si>
  <si>
    <t>ROGERS MS KATHRYN K20 - LSF RHO NIGHT FOCUS 76B</t>
  </si>
  <si>
    <t>PM48</t>
  </si>
  <si>
    <t>K20 - 4M</t>
  </si>
  <si>
    <t>ROGERS MS KATHRYN K20 - REDHILL JOURNEYMAN 4M</t>
  </si>
  <si>
    <t>PM49</t>
  </si>
  <si>
    <t>K24 - 8177F</t>
  </si>
  <si>
    <t>ROGERS MS KAREN K24 - LSF SRR PRESIDENT 8177F</t>
  </si>
  <si>
    <t>PM50</t>
  </si>
  <si>
    <t>K24 - 6305</t>
  </si>
  <si>
    <t>ROGERS MS KAREN K24 - 9 MILE FRANCHISE 6305</t>
  </si>
  <si>
    <t>PM51</t>
  </si>
  <si>
    <t>K24 - H302</t>
  </si>
  <si>
    <t>ROGERS MS KAREN K24 - BIEBER BLUE CHIP H302</t>
  </si>
  <si>
    <t>PM52</t>
  </si>
  <si>
    <t>K24 - 195C</t>
  </si>
  <si>
    <t>ROGERS MS KAREN K24 - 5L GENUINE 1603-195C</t>
  </si>
  <si>
    <t>PM53</t>
  </si>
  <si>
    <t>K24 - 76B</t>
  </si>
  <si>
    <t>ROGERS MS KAREN K24 - LSF RHO NIGHT FOCUS 76B</t>
  </si>
  <si>
    <t>PM54</t>
  </si>
  <si>
    <t>K24 - 4M</t>
  </si>
  <si>
    <t>ROGERS MS KAREN K24 - REDHILL JOURNEYMAN 4M</t>
  </si>
  <si>
    <t>PM55</t>
  </si>
  <si>
    <t>01L - 8177F</t>
  </si>
  <si>
    <t>HIDDEN HILLS 047G ROSE 01L - LSF SRR PRESIDENT 8177F</t>
  </si>
  <si>
    <t>PM56</t>
  </si>
  <si>
    <t>01L - 6305</t>
  </si>
  <si>
    <t>HIDDEN HILLS 047G ROSE 01L - 9 MILE FRANCHISE 6305</t>
  </si>
  <si>
    <t>PM57</t>
  </si>
  <si>
    <t>01L - H302</t>
  </si>
  <si>
    <t>HIDDEN HILLS 047G ROSE 01L - BIEBER BLUE CHIP H302</t>
  </si>
  <si>
    <t>PM58</t>
  </si>
  <si>
    <t>01L - 195C</t>
  </si>
  <si>
    <t>HIDDEN HILLS 047G ROSE 01L - 5L GENUINE 1603-195C</t>
  </si>
  <si>
    <t>PM59</t>
  </si>
  <si>
    <t>01L - 76B</t>
  </si>
  <si>
    <t>HIDDEN HILLS 047G ROSE 01L - LSF RHO NIGHT FOCUS 76B</t>
  </si>
  <si>
    <t>PM60</t>
  </si>
  <si>
    <t>01L - 4M</t>
  </si>
  <si>
    <t>HIDDEN HILLS 047G ROSE 01L - REDHILL JOURNEYMAN 4M</t>
  </si>
  <si>
    <t>76B</t>
  </si>
  <si>
    <t>LSF RHO NIGHT FOCUS 76B</t>
  </si>
  <si>
    <t>09-06-2014</t>
  </si>
  <si>
    <t>195C</t>
  </si>
  <si>
    <t>5L GENUINE 1603-195C</t>
  </si>
  <si>
    <t>02-23-2015</t>
  </si>
  <si>
    <t>9 MILE FRANCHISE 6305</t>
  </si>
  <si>
    <t>03-02-2016</t>
  </si>
  <si>
    <t>8177F</t>
  </si>
  <si>
    <t>LSF SRR PRESIDENT 8177F</t>
  </si>
  <si>
    <t>02-16-2018</t>
  </si>
  <si>
    <t>H302</t>
  </si>
  <si>
    <t>BIEBER BLUE CHIP H302</t>
  </si>
  <si>
    <t>02-27-2020</t>
  </si>
  <si>
    <t xml:space="preserve">322H </t>
  </si>
  <si>
    <t xml:space="preserve"> 8177F</t>
  </si>
  <si>
    <t xml:space="preserve"> H302</t>
  </si>
  <si>
    <t xml:space="preserve"> 195C</t>
  </si>
  <si>
    <t xml:space="preserve"> 76B</t>
  </si>
  <si>
    <t xml:space="preserve"> 4M</t>
  </si>
  <si>
    <t xml:space="preserve">87J </t>
  </si>
  <si>
    <t xml:space="preserve">511L </t>
  </si>
  <si>
    <t xml:space="preserve">35L </t>
  </si>
  <si>
    <t xml:space="preserve">200K </t>
  </si>
  <si>
    <t xml:space="preserve">116L </t>
  </si>
  <si>
    <t xml:space="preserve">5K </t>
  </si>
  <si>
    <t xml:space="preserve">K20 </t>
  </si>
  <si>
    <t xml:space="preserve">K24 </t>
  </si>
  <si>
    <t xml:space="preserve">01L </t>
  </si>
  <si>
    <t>6305</t>
  </si>
  <si>
    <t>Dam</t>
  </si>
  <si>
    <t>Sire</t>
  </si>
  <si>
    <t xml:space="preserve"> </t>
  </si>
  <si>
    <t>234M</t>
  </si>
  <si>
    <t>REDHILL 047G AMBER 234M</t>
  </si>
  <si>
    <t>DO NOT BREED, TOO CLOSE WITH GRANDPARENT</t>
  </si>
  <si>
    <t>14N</t>
  </si>
  <si>
    <t xml:space="preserve">HIDDEN HILLS </t>
  </si>
  <si>
    <t>09N</t>
  </si>
  <si>
    <t>11N</t>
  </si>
  <si>
    <t>12N</t>
  </si>
  <si>
    <t>13N</t>
  </si>
  <si>
    <t>16N</t>
  </si>
  <si>
    <t>0365H</t>
  </si>
  <si>
    <t>LSF SRR CHIEF EXECUTIVE 0365</t>
  </si>
  <si>
    <t>03-03-2020</t>
  </si>
  <si>
    <t>A011K</t>
  </si>
  <si>
    <t>LEACHMAN FORT KNOX A011K</t>
  </si>
  <si>
    <t>01-12-2022</t>
  </si>
  <si>
    <t>Flash</t>
  </si>
  <si>
    <t>M6403</t>
  </si>
  <si>
    <t>JYJ FLASHDRIVE M6403</t>
  </si>
  <si>
    <t>01-27-2024</t>
  </si>
  <si>
    <t>28M</t>
  </si>
  <si>
    <t>REDHILL JOURNEYMAN 28M</t>
  </si>
  <si>
    <t>01-05-2024</t>
  </si>
  <si>
    <t>10 Units</t>
  </si>
  <si>
    <t>6 units</t>
  </si>
  <si>
    <t xml:space="preserve">   3 units </t>
  </si>
  <si>
    <t xml:space="preserve">      19 units </t>
  </si>
  <si>
    <t>18 Units</t>
  </si>
  <si>
    <t xml:space="preserve">Rocky &amp; Flash plus owned: </t>
  </si>
  <si>
    <t>Fertility</t>
  </si>
  <si>
    <t>$Feeder</t>
  </si>
  <si>
    <t>Reg #</t>
  </si>
  <si>
    <t>Reg Type</t>
  </si>
  <si>
    <t>Animal ID</t>
  </si>
  <si>
    <t>Birth Date</t>
  </si>
  <si>
    <t>HerdBuilder</t>
  </si>
  <si>
    <t>GridMaster</t>
  </si>
  <si>
    <t>Stay</t>
  </si>
  <si>
    <t>RE</t>
  </si>
  <si>
    <t>HIDDEN HILLS REDPRIDE 12N</t>
  </si>
  <si>
    <t>HIDDEN HILLS BARMAID 09N</t>
  </si>
  <si>
    <t>03-25-2025</t>
  </si>
  <si>
    <t>HIDDEN HILLS PRIMROSE 11N</t>
  </si>
  <si>
    <t>05-10-2025</t>
  </si>
  <si>
    <t>4611889, 4944456, 4276203, 4860136, 3925037, 3555188, 4303789, 3483547, 1725295, 5038727, 4615573</t>
  </si>
  <si>
    <t>15N</t>
  </si>
  <si>
    <t>17P</t>
  </si>
  <si>
    <t>18P</t>
  </si>
  <si>
    <t>1 AI Della J101 Jan 26</t>
  </si>
  <si>
    <t>-2 AI Della J101 Jan 26</t>
  </si>
  <si>
    <t>4434887, 4512013, 4512039, 4558057, 4597693, 4677879, 4696683, 4696751, 4860136, 4776099, 4828952, 4833732, 4953390, 5025873, 5038645, 5190611, 5197779, 5190609, 5245169, 5245173, 5245175, 5245179</t>
  </si>
  <si>
    <t>4611889, 4944456, 5084935, 5141073, 5245171, 5245177</t>
  </si>
  <si>
    <t>COW</t>
  </si>
  <si>
    <t>02-14-2024</t>
  </si>
  <si>
    <t>05-27-2025</t>
  </si>
  <si>
    <t>HIDDEN HILLS BARMAID 13N</t>
  </si>
  <si>
    <t>06-08-2025</t>
  </si>
  <si>
    <t>I</t>
  </si>
  <si>
    <t>HIDDEN HILLS MS KATHRYN 15N</t>
  </si>
  <si>
    <t>08-30-2025</t>
  </si>
  <si>
    <t>HIDDEN HILLS MS JOLENE 16N</t>
  </si>
  <si>
    <t>11-07-2025</t>
  </si>
  <si>
    <t>HIDDEN HILLS ALANA 18P</t>
  </si>
  <si>
    <t>01-16-2026</t>
  </si>
  <si>
    <t>% Change Since Jan 2026 (Neg = worse)</t>
  </si>
  <si>
    <t>19P</t>
  </si>
  <si>
    <t>20P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</si>
</sst>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rgb="FF000000"/>
      <name val="Aptos"/>
    </font>
    <font>
      <sz val="11"/>
      <color indexed="8"/>
      <name val="Aptos Narrow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5" fillId="4" borderId="0" xfId="0" applyFont="1" applyFill="1"/>
    <xf numFmtId="164" fontId="0" fillId="0" borderId="0" xfId="1" applyNumberFormat="1" applyFont="1" applyFill="1"/>
    <xf numFmtId="10" fontId="0" fillId="0" borderId="0" xfId="0" applyNumberFormat="1"/>
    <xf numFmtId="2" fontId="0" fillId="0" borderId="0" xfId="0" applyNumberFormat="1"/>
    <xf numFmtId="164" fontId="4" fillId="0" borderId="0" xfId="1" applyNumberFormat="1" applyFont="1" applyFill="1"/>
    <xf numFmtId="0" fontId="4" fillId="0" borderId="0" xfId="0" applyFont="1"/>
    <xf numFmtId="9" fontId="0" fillId="0" borderId="0" xfId="3" applyFont="1" applyFill="1"/>
    <xf numFmtId="0" fontId="0" fillId="0" borderId="0" xfId="0" applyAlignment="1">
      <alignment horizontal="left"/>
    </xf>
    <xf numFmtId="49" fontId="0" fillId="0" borderId="0" xfId="0" applyNumberFormat="1"/>
    <xf numFmtId="14" fontId="0" fillId="0" borderId="0" xfId="0" applyNumberFormat="1"/>
    <xf numFmtId="0" fontId="0" fillId="5" borderId="0" xfId="0" applyFill="1"/>
    <xf numFmtId="164" fontId="0" fillId="3" borderId="0" xfId="1" applyNumberFormat="1" applyFont="1" applyFill="1"/>
    <xf numFmtId="0" fontId="6" fillId="3" borderId="0" xfId="0" applyFont="1" applyFill="1"/>
  </cellXfs>
  <cellStyles count="4">
    <cellStyle name="Currency" xfId="1" builtinId="4"/>
    <cellStyle name="Normal" xfId="0" builtinId="0"/>
    <cellStyle name="Normal 2" xfId="2" xr:uid="{DF0B7AB9-7196-0C48-8B44-5AAF67D8A07D}"/>
    <cellStyle name="Percent" xfId="3" builtinId="5"/>
  </cellStyles>
  <dxfs count="155"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E12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BP%20Stan/Dropbox/Personal/Cattle%20Stuff/Red%20Angus/Herd%20EPDs%202026%200131.xlsx" TargetMode="External"/><Relationship Id="rId1" Type="http://schemas.openxmlformats.org/officeDocument/2006/relationships/externalLinkPath" Target="Herd%20EPDs%202026%2001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ws"/>
      <sheetName val="Bulls"/>
      <sheetName val="Owned Semen"/>
      <sheetName val="Fall 2025 AI Plans by Cow"/>
      <sheetName val="Fall 2025 AI Plans by Bull"/>
    </sheetNames>
    <sheetDataSet>
      <sheetData sheetId="0">
        <row r="5">
          <cell r="I5">
            <v>0.5</v>
          </cell>
          <cell r="J5">
            <v>0.22</v>
          </cell>
          <cell r="K5">
            <v>0.83</v>
          </cell>
          <cell r="L5">
            <v>0.04</v>
          </cell>
          <cell r="M5">
            <v>0.09</v>
          </cell>
          <cell r="N5">
            <v>0.54</v>
          </cell>
          <cell r="O5">
            <v>0.7</v>
          </cell>
          <cell r="P5">
            <v>0.83</v>
          </cell>
          <cell r="Q5">
            <v>0.04</v>
          </cell>
          <cell r="R5">
            <v>0.87</v>
          </cell>
          <cell r="S5">
            <v>0.49</v>
          </cell>
          <cell r="T5">
            <v>0.12</v>
          </cell>
          <cell r="U5">
            <v>0.26</v>
          </cell>
          <cell r="V5">
            <v>0.25</v>
          </cell>
          <cell r="W5">
            <v>0.51</v>
          </cell>
          <cell r="X5">
            <v>0.97</v>
          </cell>
          <cell r="Y5">
            <v>0.84</v>
          </cell>
          <cell r="Z5">
            <v>0.99</v>
          </cell>
          <cell r="AA5">
            <v>0.89</v>
          </cell>
        </row>
        <row r="8">
          <cell r="I8">
            <v>0.1</v>
          </cell>
          <cell r="J8">
            <v>0.17</v>
          </cell>
          <cell r="K8">
            <v>0.21</v>
          </cell>
          <cell r="L8">
            <v>0.23</v>
          </cell>
          <cell r="M8">
            <v>0.03</v>
          </cell>
          <cell r="N8">
            <v>0.8</v>
          </cell>
          <cell r="O8">
            <v>0.72</v>
          </cell>
          <cell r="P8">
            <v>0.57999999999999996</v>
          </cell>
          <cell r="Q8">
            <v>0.17</v>
          </cell>
          <cell r="R8">
            <v>0.56999999999999995</v>
          </cell>
          <cell r="S8">
            <v>0.14000000000000001</v>
          </cell>
          <cell r="T8">
            <v>0.01</v>
          </cell>
          <cell r="U8">
            <v>0.11</v>
          </cell>
          <cell r="V8">
            <v>0.71</v>
          </cell>
          <cell r="W8">
            <v>0.63</v>
          </cell>
          <cell r="X8">
            <v>0.26</v>
          </cell>
          <cell r="Y8">
            <v>0.24</v>
          </cell>
          <cell r="Z8">
            <v>0.21</v>
          </cell>
          <cell r="AA8">
            <v>0.27</v>
          </cell>
        </row>
        <row r="11">
          <cell r="I11">
            <v>0.08</v>
          </cell>
          <cell r="J11">
            <v>0.11</v>
          </cell>
          <cell r="K11">
            <v>0.26</v>
          </cell>
          <cell r="L11">
            <v>0.31</v>
          </cell>
          <cell r="M11">
            <v>0.4</v>
          </cell>
          <cell r="N11">
            <v>0.44</v>
          </cell>
          <cell r="O11">
            <v>0.44</v>
          </cell>
          <cell r="P11">
            <v>0.44</v>
          </cell>
          <cell r="Q11">
            <v>0.51</v>
          </cell>
          <cell r="R11">
            <v>0.9</v>
          </cell>
          <cell r="S11">
            <v>0.84</v>
          </cell>
          <cell r="T11">
            <v>0.06</v>
          </cell>
          <cell r="U11">
            <v>0.17</v>
          </cell>
          <cell r="V11">
            <v>0.17</v>
          </cell>
          <cell r="W11">
            <v>0.06</v>
          </cell>
          <cell r="X11">
            <v>0.94</v>
          </cell>
          <cell r="Y11">
            <v>0.69</v>
          </cell>
          <cell r="Z11">
            <v>0.73</v>
          </cell>
          <cell r="AA11">
            <v>0.98</v>
          </cell>
        </row>
        <row r="14">
          <cell r="I14">
            <v>0.5</v>
          </cell>
          <cell r="J14">
            <v>0.63</v>
          </cell>
          <cell r="K14">
            <v>0.34</v>
          </cell>
          <cell r="L14">
            <v>0.28999999999999998</v>
          </cell>
          <cell r="M14">
            <v>0.27</v>
          </cell>
          <cell r="N14">
            <v>0.34</v>
          </cell>
          <cell r="O14">
            <v>0.56000000000000005</v>
          </cell>
          <cell r="P14">
            <v>0.78</v>
          </cell>
          <cell r="Q14">
            <v>0.52</v>
          </cell>
          <cell r="R14">
            <v>0.12</v>
          </cell>
          <cell r="S14">
            <v>0.51</v>
          </cell>
          <cell r="T14">
            <v>0.01</v>
          </cell>
          <cell r="U14">
            <v>0.49</v>
          </cell>
          <cell r="V14">
            <v>0.9</v>
          </cell>
          <cell r="W14">
            <v>0.13</v>
          </cell>
          <cell r="X14">
            <v>0.38</v>
          </cell>
          <cell r="Y14">
            <v>0.48</v>
          </cell>
          <cell r="Z14">
            <v>0.3</v>
          </cell>
          <cell r="AA14">
            <v>0.57999999999999996</v>
          </cell>
        </row>
        <row r="17">
          <cell r="I17">
            <v>0.09</v>
          </cell>
          <cell r="J17">
            <v>0.05</v>
          </cell>
          <cell r="K17">
            <v>0.49</v>
          </cell>
          <cell r="L17">
            <v>0.2</v>
          </cell>
          <cell r="M17">
            <v>0.2</v>
          </cell>
          <cell r="N17">
            <v>0.45</v>
          </cell>
          <cell r="O17">
            <v>0.47</v>
          </cell>
          <cell r="P17">
            <v>0.5</v>
          </cell>
          <cell r="Q17">
            <v>0.27</v>
          </cell>
          <cell r="R17">
            <v>0.14000000000000001</v>
          </cell>
          <cell r="S17">
            <v>7.0000000000000007E-2</v>
          </cell>
          <cell r="T17">
            <v>0.04</v>
          </cell>
          <cell r="U17">
            <v>0.13</v>
          </cell>
          <cell r="V17">
            <v>0.42</v>
          </cell>
          <cell r="W17">
            <v>7.0000000000000007E-2</v>
          </cell>
          <cell r="X17">
            <v>0.78</v>
          </cell>
          <cell r="Y17">
            <v>0.96</v>
          </cell>
          <cell r="Z17">
            <v>0.99</v>
          </cell>
          <cell r="AA17">
            <v>0.49</v>
          </cell>
        </row>
        <row r="20">
          <cell r="I20">
            <v>0.02</v>
          </cell>
          <cell r="J20">
            <v>0.03</v>
          </cell>
          <cell r="K20">
            <v>0.22</v>
          </cell>
          <cell r="L20">
            <v>0.06</v>
          </cell>
          <cell r="M20">
            <v>0.1</v>
          </cell>
          <cell r="N20">
            <v>0.42</v>
          </cell>
          <cell r="O20">
            <v>0.57999999999999996</v>
          </cell>
          <cell r="P20">
            <v>0.74</v>
          </cell>
          <cell r="Q20">
            <v>0.08</v>
          </cell>
          <cell r="R20">
            <v>0.59</v>
          </cell>
          <cell r="S20">
            <v>0.16</v>
          </cell>
          <cell r="T20">
            <v>0.01</v>
          </cell>
          <cell r="U20">
            <v>0.14000000000000001</v>
          </cell>
          <cell r="V20">
            <v>0.27</v>
          </cell>
          <cell r="W20">
            <v>0.24</v>
          </cell>
          <cell r="X20">
            <v>0.2</v>
          </cell>
          <cell r="Y20">
            <v>0.46</v>
          </cell>
          <cell r="Z20">
            <v>0.19</v>
          </cell>
          <cell r="AA20">
            <v>0.43</v>
          </cell>
        </row>
        <row r="23">
          <cell r="I23">
            <v>7.0000000000000007E-2</v>
          </cell>
          <cell r="J23">
            <v>0.03</v>
          </cell>
          <cell r="K23">
            <v>0.48</v>
          </cell>
          <cell r="L23">
            <v>0.1</v>
          </cell>
          <cell r="M23">
            <v>0.01</v>
          </cell>
          <cell r="N23">
            <v>0.74</v>
          </cell>
          <cell r="O23">
            <v>0.85</v>
          </cell>
          <cell r="P23">
            <v>0.91</v>
          </cell>
          <cell r="Q23">
            <v>0.08</v>
          </cell>
          <cell r="R23">
            <v>0.55000000000000004</v>
          </cell>
          <cell r="S23">
            <v>0.09</v>
          </cell>
          <cell r="T23">
            <v>0.04</v>
          </cell>
          <cell r="U23">
            <v>0.18</v>
          </cell>
          <cell r="V23">
            <v>0.19</v>
          </cell>
          <cell r="W23">
            <v>0.3</v>
          </cell>
          <cell r="X23">
            <v>0.12</v>
          </cell>
          <cell r="Y23">
            <v>0.81</v>
          </cell>
          <cell r="Z23">
            <v>0.51</v>
          </cell>
          <cell r="AA23">
            <v>0.11</v>
          </cell>
        </row>
        <row r="26">
          <cell r="I26">
            <v>0.02</v>
          </cell>
          <cell r="J26">
            <v>0.06</v>
          </cell>
          <cell r="K26">
            <v>0.14000000000000001</v>
          </cell>
          <cell r="L26">
            <v>0.03</v>
          </cell>
          <cell r="M26">
            <v>0.02</v>
          </cell>
          <cell r="N26">
            <v>0.65</v>
          </cell>
          <cell r="O26">
            <v>0.7</v>
          </cell>
          <cell r="P26">
            <v>0.73</v>
          </cell>
          <cell r="Q26">
            <v>0.06</v>
          </cell>
          <cell r="R26">
            <v>0.88</v>
          </cell>
          <cell r="S26">
            <v>0.28999999999999998</v>
          </cell>
          <cell r="T26">
            <v>0.01</v>
          </cell>
          <cell r="U26">
            <v>0.04</v>
          </cell>
          <cell r="V26">
            <v>0.3</v>
          </cell>
          <cell r="W26">
            <v>0.15</v>
          </cell>
          <cell r="X26">
            <v>0.09</v>
          </cell>
          <cell r="Y26">
            <v>0.63</v>
          </cell>
          <cell r="Z26">
            <v>0.21</v>
          </cell>
          <cell r="AA26">
            <v>0.21</v>
          </cell>
        </row>
        <row r="29">
          <cell r="I29">
            <v>0.19</v>
          </cell>
          <cell r="J29">
            <v>0.08</v>
          </cell>
          <cell r="K29">
            <v>0.61</v>
          </cell>
          <cell r="L29">
            <v>0.11</v>
          </cell>
          <cell r="M29">
            <v>0.15</v>
          </cell>
          <cell r="N29">
            <v>0.42</v>
          </cell>
          <cell r="O29">
            <v>0.41</v>
          </cell>
          <cell r="P29">
            <v>0.42</v>
          </cell>
          <cell r="Q29">
            <v>0.12</v>
          </cell>
          <cell r="R29">
            <v>0.37</v>
          </cell>
          <cell r="S29">
            <v>0.68</v>
          </cell>
          <cell r="T29">
            <v>0.34</v>
          </cell>
          <cell r="U29">
            <v>0.12</v>
          </cell>
          <cell r="V29">
            <v>0.08</v>
          </cell>
          <cell r="W29">
            <v>0.27</v>
          </cell>
          <cell r="X29">
            <v>0.92</v>
          </cell>
          <cell r="Y29">
            <v>0.92</v>
          </cell>
          <cell r="Z29">
            <v>0.89</v>
          </cell>
          <cell r="AA29">
            <v>0.98</v>
          </cell>
        </row>
        <row r="32">
          <cell r="I32">
            <v>0.13</v>
          </cell>
          <cell r="J32">
            <v>0.06</v>
          </cell>
          <cell r="K32">
            <v>0.56999999999999995</v>
          </cell>
          <cell r="L32">
            <v>0.34</v>
          </cell>
          <cell r="M32">
            <v>0.4</v>
          </cell>
          <cell r="N32">
            <v>0.38</v>
          </cell>
          <cell r="O32">
            <v>0.31</v>
          </cell>
          <cell r="P32">
            <v>0.25</v>
          </cell>
          <cell r="Q32">
            <v>0.7</v>
          </cell>
          <cell r="R32">
            <v>0.05</v>
          </cell>
          <cell r="S32">
            <v>0.79</v>
          </cell>
          <cell r="T32">
            <v>0.16</v>
          </cell>
          <cell r="U32">
            <v>0.03</v>
          </cell>
          <cell r="V32">
            <v>0.12</v>
          </cell>
          <cell r="W32">
            <v>0.42</v>
          </cell>
          <cell r="X32">
            <v>0.33</v>
          </cell>
          <cell r="Y32">
            <v>0.78</v>
          </cell>
          <cell r="Z32">
            <v>0.21</v>
          </cell>
          <cell r="AA32">
            <v>0.9</v>
          </cell>
        </row>
        <row r="35">
          <cell r="I35">
            <v>0.03</v>
          </cell>
          <cell r="J35">
            <v>0.08</v>
          </cell>
          <cell r="K35">
            <v>0.12</v>
          </cell>
          <cell r="L35">
            <v>0.08</v>
          </cell>
          <cell r="M35">
            <v>0.1</v>
          </cell>
          <cell r="N35">
            <v>0.27</v>
          </cell>
          <cell r="O35">
            <v>0.36</v>
          </cell>
          <cell r="P35">
            <v>0.49</v>
          </cell>
          <cell r="Q35">
            <v>0.16</v>
          </cell>
          <cell r="R35">
            <v>0.78</v>
          </cell>
          <cell r="S35">
            <v>0.25</v>
          </cell>
          <cell r="T35">
            <v>7.0000000000000007E-2</v>
          </cell>
          <cell r="U35">
            <v>0.13</v>
          </cell>
          <cell r="V35">
            <v>0.3</v>
          </cell>
          <cell r="W35">
            <v>0.24</v>
          </cell>
          <cell r="X35">
            <v>0.63</v>
          </cell>
          <cell r="Y35">
            <v>0.15</v>
          </cell>
          <cell r="Z35">
            <v>0.39</v>
          </cell>
          <cell r="AA35">
            <v>0.45</v>
          </cell>
        </row>
        <row r="38">
          <cell r="I38">
            <v>0.03</v>
          </cell>
          <cell r="J38">
            <v>0.03</v>
          </cell>
          <cell r="K38">
            <v>0.26</v>
          </cell>
          <cell r="L38">
            <v>0.16</v>
          </cell>
          <cell r="M38">
            <v>0.15</v>
          </cell>
          <cell r="N38">
            <v>0.06</v>
          </cell>
          <cell r="O38">
            <v>0.1</v>
          </cell>
          <cell r="P38">
            <v>0.23</v>
          </cell>
          <cell r="Q38">
            <v>0.68</v>
          </cell>
          <cell r="R38">
            <v>0.04</v>
          </cell>
          <cell r="S38">
            <v>0.14000000000000001</v>
          </cell>
          <cell r="T38">
            <v>0.3</v>
          </cell>
          <cell r="U38">
            <v>0.42</v>
          </cell>
          <cell r="V38">
            <v>0.1</v>
          </cell>
          <cell r="W38">
            <v>0.4</v>
          </cell>
          <cell r="X38">
            <v>0.47</v>
          </cell>
          <cell r="Y38">
            <v>0.11</v>
          </cell>
          <cell r="Z38">
            <v>0.21</v>
          </cell>
          <cell r="AA38">
            <v>0.4</v>
          </cell>
        </row>
        <row r="41">
          <cell r="I41">
            <v>0.11</v>
          </cell>
          <cell r="J41">
            <v>0.17</v>
          </cell>
          <cell r="K41">
            <v>0.21</v>
          </cell>
          <cell r="L41">
            <v>0.41</v>
          </cell>
          <cell r="M41">
            <v>0.44</v>
          </cell>
          <cell r="N41">
            <v>0.28000000000000003</v>
          </cell>
          <cell r="O41">
            <v>0.32</v>
          </cell>
          <cell r="P41">
            <v>0.39</v>
          </cell>
          <cell r="Q41">
            <v>7.0000000000000007E-2</v>
          </cell>
          <cell r="R41">
            <v>0.35</v>
          </cell>
          <cell r="S41">
            <v>0.42</v>
          </cell>
          <cell r="T41">
            <v>0.13</v>
          </cell>
          <cell r="U41">
            <v>0.25</v>
          </cell>
          <cell r="V41">
            <v>0.39</v>
          </cell>
          <cell r="W41">
            <v>0.26</v>
          </cell>
          <cell r="X41">
            <v>0.35</v>
          </cell>
          <cell r="Y41">
            <v>0.61</v>
          </cell>
          <cell r="Z41">
            <v>0.4</v>
          </cell>
          <cell r="AA41">
            <v>0.5</v>
          </cell>
        </row>
        <row r="44">
          <cell r="I44">
            <v>0.01</v>
          </cell>
          <cell r="J44">
            <v>0.01</v>
          </cell>
          <cell r="K44">
            <v>0.18</v>
          </cell>
          <cell r="L44">
            <v>0.1</v>
          </cell>
          <cell r="M44">
            <v>0.1</v>
          </cell>
          <cell r="N44">
            <v>0.96</v>
          </cell>
          <cell r="O44">
            <v>0.95</v>
          </cell>
          <cell r="P44">
            <v>0.92</v>
          </cell>
          <cell r="Q44">
            <v>0.05</v>
          </cell>
          <cell r="R44">
            <v>0.22</v>
          </cell>
          <cell r="S44">
            <v>0.06</v>
          </cell>
          <cell r="T44">
            <v>0.01</v>
          </cell>
          <cell r="U44">
            <v>0.25</v>
          </cell>
          <cell r="V44">
            <v>0.04</v>
          </cell>
          <cell r="W44">
            <v>0.02</v>
          </cell>
          <cell r="X44">
            <v>0.62</v>
          </cell>
          <cell r="Y44">
            <v>0.96</v>
          </cell>
          <cell r="Z44">
            <v>0.82</v>
          </cell>
          <cell r="AA44">
            <v>0.86</v>
          </cell>
        </row>
        <row r="47">
          <cell r="I47">
            <v>0.01</v>
          </cell>
          <cell r="J47">
            <v>0.01</v>
          </cell>
          <cell r="K47">
            <v>0.28000000000000003</v>
          </cell>
          <cell r="L47">
            <v>0.02</v>
          </cell>
          <cell r="M47">
            <v>0.01</v>
          </cell>
          <cell r="N47">
            <v>0.69</v>
          </cell>
          <cell r="O47">
            <v>0.8</v>
          </cell>
          <cell r="P47">
            <v>0.86</v>
          </cell>
          <cell r="Q47">
            <v>0.16</v>
          </cell>
          <cell r="R47">
            <v>0.13</v>
          </cell>
          <cell r="S47">
            <v>0.31</v>
          </cell>
          <cell r="T47">
            <v>0.01</v>
          </cell>
          <cell r="U47">
            <v>0.05</v>
          </cell>
          <cell r="V47">
            <v>0.03</v>
          </cell>
          <cell r="W47">
            <v>0.26</v>
          </cell>
          <cell r="X47">
            <v>0.05</v>
          </cell>
          <cell r="Y47">
            <v>0.59</v>
          </cell>
          <cell r="Z47">
            <v>0.1</v>
          </cell>
          <cell r="AA47">
            <v>0.22</v>
          </cell>
        </row>
        <row r="50">
          <cell r="I50">
            <v>0.06</v>
          </cell>
          <cell r="J50">
            <v>0.04</v>
          </cell>
          <cell r="K50">
            <v>0.35</v>
          </cell>
          <cell r="L50">
            <v>0.18</v>
          </cell>
          <cell r="M50">
            <v>0.17</v>
          </cell>
          <cell r="N50">
            <v>0.61</v>
          </cell>
          <cell r="O50">
            <v>0.53</v>
          </cell>
          <cell r="P50">
            <v>0.45</v>
          </cell>
          <cell r="Q50">
            <v>0.51</v>
          </cell>
          <cell r="R50">
            <v>0.06</v>
          </cell>
          <cell r="S50">
            <v>0.62</v>
          </cell>
          <cell r="T50">
            <v>0.05</v>
          </cell>
          <cell r="U50">
            <v>0.05</v>
          </cell>
          <cell r="V50">
            <v>0.09</v>
          </cell>
          <cell r="W50">
            <v>0.2</v>
          </cell>
          <cell r="X50">
            <v>0.4</v>
          </cell>
          <cell r="Y50">
            <v>0.82</v>
          </cell>
          <cell r="Z50">
            <v>0.28000000000000003</v>
          </cell>
          <cell r="AA50">
            <v>0.91</v>
          </cell>
        </row>
        <row r="56">
          <cell r="I56">
            <v>0.03</v>
          </cell>
          <cell r="J56">
            <v>0.05</v>
          </cell>
          <cell r="K56">
            <v>0.15</v>
          </cell>
          <cell r="L56">
            <v>0.08</v>
          </cell>
          <cell r="M56">
            <v>7.0000000000000007E-2</v>
          </cell>
          <cell r="N56">
            <v>0.53</v>
          </cell>
          <cell r="O56">
            <v>0.55000000000000004</v>
          </cell>
          <cell r="P56">
            <v>0.56999999999999995</v>
          </cell>
          <cell r="Q56">
            <v>0.18</v>
          </cell>
          <cell r="R56">
            <v>0.47</v>
          </cell>
          <cell r="S56">
            <v>0.35</v>
          </cell>
          <cell r="T56">
            <v>0.03</v>
          </cell>
          <cell r="U56">
            <v>0.1</v>
          </cell>
          <cell r="V56">
            <v>0.16</v>
          </cell>
          <cell r="W56">
            <v>0.15</v>
          </cell>
          <cell r="X56">
            <v>0.56000000000000005</v>
          </cell>
          <cell r="Y56">
            <v>0.5</v>
          </cell>
          <cell r="Z56">
            <v>0.37</v>
          </cell>
          <cell r="AA56">
            <v>0.75</v>
          </cell>
        </row>
        <row r="59">
          <cell r="I59">
            <v>0.06</v>
          </cell>
          <cell r="J59">
            <v>0.09</v>
          </cell>
          <cell r="K59">
            <v>0.19</v>
          </cell>
          <cell r="L59">
            <v>0.15</v>
          </cell>
          <cell r="M59">
            <v>0.05</v>
          </cell>
          <cell r="N59">
            <v>0.73</v>
          </cell>
          <cell r="O59">
            <v>0.68</v>
          </cell>
          <cell r="P59">
            <v>0.56999999999999995</v>
          </cell>
          <cell r="Q59">
            <v>0.18</v>
          </cell>
          <cell r="R59">
            <v>0.27</v>
          </cell>
          <cell r="S59">
            <v>0.28999999999999998</v>
          </cell>
          <cell r="T59">
            <v>0.01</v>
          </cell>
          <cell r="U59">
            <v>0.11</v>
          </cell>
          <cell r="V59">
            <v>0.42</v>
          </cell>
          <cell r="W59">
            <v>0.26</v>
          </cell>
          <cell r="X59">
            <v>0.31</v>
          </cell>
          <cell r="Y59">
            <v>0.57999999999999996</v>
          </cell>
          <cell r="Z59">
            <v>0.24</v>
          </cell>
          <cell r="AA59">
            <v>0.68</v>
          </cell>
        </row>
        <row r="62">
          <cell r="I62">
            <v>0.02</v>
          </cell>
          <cell r="J62">
            <v>0.05</v>
          </cell>
          <cell r="K62">
            <v>0.15</v>
          </cell>
          <cell r="L62">
            <v>0.01</v>
          </cell>
          <cell r="M62">
            <v>0.05</v>
          </cell>
          <cell r="N62">
            <v>0.5</v>
          </cell>
          <cell r="O62">
            <v>0.55000000000000004</v>
          </cell>
          <cell r="P62">
            <v>0.6</v>
          </cell>
          <cell r="Q62">
            <v>0.15</v>
          </cell>
          <cell r="R62">
            <v>0.35</v>
          </cell>
          <cell r="S62">
            <v>0.3</v>
          </cell>
          <cell r="T62">
            <v>0.01</v>
          </cell>
          <cell r="U62">
            <v>0.1</v>
          </cell>
          <cell r="V62">
            <v>0.3</v>
          </cell>
          <cell r="W62">
            <v>0.1</v>
          </cell>
          <cell r="X62">
            <v>0.15</v>
          </cell>
          <cell r="Y62">
            <v>0.65</v>
          </cell>
          <cell r="Z62">
            <v>0.2</v>
          </cell>
          <cell r="AA62">
            <v>0.5</v>
          </cell>
        </row>
        <row r="65">
          <cell r="I65">
            <v>0.04</v>
          </cell>
          <cell r="J65">
            <v>0.05</v>
          </cell>
          <cell r="K65">
            <v>0.25</v>
          </cell>
          <cell r="L65">
            <v>0.02</v>
          </cell>
          <cell r="M65">
            <v>0.01</v>
          </cell>
          <cell r="N65">
            <v>0.7</v>
          </cell>
          <cell r="O65">
            <v>0.75</v>
          </cell>
          <cell r="P65">
            <v>0.75</v>
          </cell>
          <cell r="Q65">
            <v>0.15</v>
          </cell>
          <cell r="R65">
            <v>0.35</v>
          </cell>
          <cell r="S65">
            <v>0.2</v>
          </cell>
          <cell r="T65">
            <v>0.02</v>
          </cell>
          <cell r="U65">
            <v>0.1</v>
          </cell>
          <cell r="V65">
            <v>0.2</v>
          </cell>
          <cell r="W65">
            <v>0.15</v>
          </cell>
          <cell r="X65">
            <v>0.15</v>
          </cell>
          <cell r="Y65">
            <v>0.85</v>
          </cell>
          <cell r="Z65">
            <v>0.3</v>
          </cell>
          <cell r="AA65">
            <v>0.5</v>
          </cell>
        </row>
        <row r="68">
          <cell r="I68">
            <v>0.15</v>
          </cell>
          <cell r="J68">
            <v>0.3</v>
          </cell>
          <cell r="K68">
            <v>0.25</v>
          </cell>
          <cell r="L68">
            <v>0.04</v>
          </cell>
          <cell r="M68">
            <v>0.1</v>
          </cell>
          <cell r="N68">
            <v>0.5</v>
          </cell>
          <cell r="O68">
            <v>0.6</v>
          </cell>
          <cell r="P68">
            <v>0.65</v>
          </cell>
          <cell r="Q68">
            <v>0.4</v>
          </cell>
          <cell r="R68">
            <v>0.15</v>
          </cell>
          <cell r="S68">
            <v>0.45</v>
          </cell>
          <cell r="T68">
            <v>0.02</v>
          </cell>
          <cell r="U68">
            <v>0.2</v>
          </cell>
          <cell r="V68">
            <v>0.55000000000000004</v>
          </cell>
          <cell r="W68">
            <v>0.1</v>
          </cell>
          <cell r="X68">
            <v>0.3</v>
          </cell>
          <cell r="Y68">
            <v>0.7</v>
          </cell>
          <cell r="Z68">
            <v>0.25</v>
          </cell>
          <cell r="AA68">
            <v>0.7</v>
          </cell>
        </row>
      </sheetData>
      <sheetData sheetId="1">
        <row r="7">
          <cell r="J7">
            <v>0.05</v>
          </cell>
          <cell r="K7">
            <v>0.06</v>
          </cell>
          <cell r="L7">
            <v>0.19</v>
          </cell>
          <cell r="M7">
            <v>0.09</v>
          </cell>
          <cell r="N7">
            <v>0.06</v>
          </cell>
          <cell r="O7">
            <v>0.74</v>
          </cell>
          <cell r="P7">
            <v>0.7</v>
          </cell>
          <cell r="Q7">
            <v>0.62</v>
          </cell>
          <cell r="R7">
            <v>0.34</v>
          </cell>
          <cell r="S7">
            <v>0.18</v>
          </cell>
          <cell r="T7">
            <v>0.44</v>
          </cell>
          <cell r="U7">
            <v>0.05</v>
          </cell>
          <cell r="V7">
            <v>7.0000000000000007E-2</v>
          </cell>
          <cell r="W7">
            <v>0.15</v>
          </cell>
          <cell r="X7">
            <v>0.09</v>
          </cell>
          <cell r="Y7">
            <v>0.44</v>
          </cell>
          <cell r="Z7">
            <v>0.71</v>
          </cell>
          <cell r="AA7">
            <v>0.26</v>
          </cell>
          <cell r="AB7">
            <v>0.88</v>
          </cell>
        </row>
        <row r="10">
          <cell r="J10">
            <v>0.02</v>
          </cell>
          <cell r="K10">
            <v>0.14000000000000001</v>
          </cell>
          <cell r="L10">
            <v>0.03</v>
          </cell>
          <cell r="M10">
            <v>0.5</v>
          </cell>
          <cell r="N10">
            <v>0.11</v>
          </cell>
          <cell r="O10">
            <v>0.1</v>
          </cell>
          <cell r="P10">
            <v>0.13</v>
          </cell>
          <cell r="Q10">
            <v>0.2</v>
          </cell>
          <cell r="R10">
            <v>0.67</v>
          </cell>
          <cell r="S10">
            <v>0.49</v>
          </cell>
          <cell r="T10">
            <v>0.97</v>
          </cell>
          <cell r="U10">
            <v>0.23</v>
          </cell>
          <cell r="V10">
            <v>0.69</v>
          </cell>
          <cell r="W10">
            <v>0.03</v>
          </cell>
          <cell r="X10">
            <v>0.1</v>
          </cell>
          <cell r="Y10">
            <v>0.37</v>
          </cell>
          <cell r="Z10">
            <v>0.05</v>
          </cell>
          <cell r="AA10">
            <v>0.17</v>
          </cell>
          <cell r="AB10">
            <v>0.19</v>
          </cell>
        </row>
        <row r="17">
          <cell r="J17">
            <v>0.66</v>
          </cell>
          <cell r="K17">
            <v>0.56999999999999995</v>
          </cell>
          <cell r="L17">
            <v>0.67</v>
          </cell>
          <cell r="M17">
            <v>0.1</v>
          </cell>
          <cell r="N17">
            <v>0.26</v>
          </cell>
          <cell r="O17">
            <v>0.14000000000000001</v>
          </cell>
          <cell r="P17">
            <v>0.32</v>
          </cell>
          <cell r="Q17">
            <v>0.62</v>
          </cell>
          <cell r="R17">
            <v>0.33</v>
          </cell>
          <cell r="S17">
            <v>0.74</v>
          </cell>
          <cell r="T17">
            <v>0.39</v>
          </cell>
          <cell r="U17">
            <v>0.06</v>
          </cell>
          <cell r="V17">
            <v>0.27</v>
          </cell>
          <cell r="W17">
            <v>0.84</v>
          </cell>
          <cell r="X17">
            <v>0.51</v>
          </cell>
          <cell r="Y17">
            <v>0.14000000000000001</v>
          </cell>
          <cell r="Z17">
            <v>0.56999999999999995</v>
          </cell>
          <cell r="AA17">
            <v>0.1</v>
          </cell>
          <cell r="AB17">
            <v>0.5</v>
          </cell>
          <cell r="AC17">
            <v>0.23</v>
          </cell>
        </row>
        <row r="20">
          <cell r="J20">
            <v>0.06</v>
          </cell>
          <cell r="K20">
            <v>0.08</v>
          </cell>
          <cell r="L20">
            <v>0.19</v>
          </cell>
          <cell r="M20">
            <v>0.7</v>
          </cell>
          <cell r="N20">
            <v>0.52</v>
          </cell>
          <cell r="O20">
            <v>0.06</v>
          </cell>
          <cell r="P20">
            <v>0.09</v>
          </cell>
          <cell r="Q20">
            <v>0.15</v>
          </cell>
          <cell r="R20">
            <v>0.68</v>
          </cell>
          <cell r="S20">
            <v>0.18</v>
          </cell>
          <cell r="T20">
            <v>0.15</v>
          </cell>
          <cell r="U20">
            <v>0.12</v>
          </cell>
          <cell r="V20">
            <v>0.74</v>
          </cell>
          <cell r="W20">
            <v>0.34</v>
          </cell>
          <cell r="X20">
            <v>0.28999999999999998</v>
          </cell>
          <cell r="Y20">
            <v>0.65</v>
          </cell>
          <cell r="Z20">
            <v>0.12</v>
          </cell>
          <cell r="AA20">
            <v>0.1</v>
          </cell>
          <cell r="AB20">
            <v>0.89</v>
          </cell>
        </row>
        <row r="23">
          <cell r="J23">
            <v>0.25</v>
          </cell>
          <cell r="K23">
            <v>0.15</v>
          </cell>
          <cell r="L23">
            <v>0.55000000000000004</v>
          </cell>
          <cell r="M23">
            <v>0.02</v>
          </cell>
          <cell r="N23">
            <v>0.05</v>
          </cell>
          <cell r="O23">
            <v>0.7</v>
          </cell>
          <cell r="P23">
            <v>0.75</v>
          </cell>
          <cell r="Q23">
            <v>0.75</v>
          </cell>
          <cell r="R23">
            <v>0.1</v>
          </cell>
          <cell r="S23">
            <v>0.55000000000000004</v>
          </cell>
          <cell r="T23">
            <v>0.4</v>
          </cell>
          <cell r="U23">
            <v>0.05</v>
          </cell>
          <cell r="V23">
            <v>0.15</v>
          </cell>
          <cell r="W23">
            <v>0.15</v>
          </cell>
          <cell r="X23">
            <v>0.25</v>
          </cell>
          <cell r="Y23">
            <v>0.65</v>
          </cell>
          <cell r="Z23">
            <v>0.9</v>
          </cell>
          <cell r="AA23">
            <v>0.8</v>
          </cell>
          <cell r="AB23">
            <v>0.8</v>
          </cell>
        </row>
        <row r="26">
          <cell r="J26">
            <v>0.1</v>
          </cell>
          <cell r="K26">
            <v>0.1</v>
          </cell>
          <cell r="L26">
            <v>0.3</v>
          </cell>
          <cell r="M26">
            <v>0.1</v>
          </cell>
          <cell r="N26">
            <v>0.15</v>
          </cell>
          <cell r="O26">
            <v>0.65</v>
          </cell>
          <cell r="P26">
            <v>0.65</v>
          </cell>
          <cell r="Q26">
            <v>0.55000000000000004</v>
          </cell>
          <cell r="R26">
            <v>0.35</v>
          </cell>
          <cell r="S26">
            <v>0.55000000000000004</v>
          </cell>
          <cell r="T26">
            <v>0.65</v>
          </cell>
          <cell r="U26">
            <v>0.05</v>
          </cell>
          <cell r="V26">
            <v>0.15</v>
          </cell>
          <cell r="W26">
            <v>0.1</v>
          </cell>
          <cell r="X26">
            <v>0.15</v>
          </cell>
          <cell r="Y26">
            <v>0.6</v>
          </cell>
          <cell r="Z26">
            <v>0.8</v>
          </cell>
          <cell r="AA26">
            <v>0.5</v>
          </cell>
          <cell r="AB26">
            <v>0.9</v>
          </cell>
        </row>
      </sheetData>
      <sheetData sheetId="2">
        <row r="18">
          <cell r="H18">
            <v>0.28000000000000003</v>
          </cell>
          <cell r="I18">
            <v>0.6</v>
          </cell>
          <cell r="J18">
            <v>0.15</v>
          </cell>
          <cell r="K18">
            <v>0.55000000000000004</v>
          </cell>
          <cell r="L18">
            <v>0.42</v>
          </cell>
          <cell r="M18">
            <v>0.26</v>
          </cell>
          <cell r="N18">
            <v>0.44</v>
          </cell>
          <cell r="O18">
            <v>0.69</v>
          </cell>
          <cell r="P18">
            <v>0.52</v>
          </cell>
          <cell r="Q18">
            <v>0.55000000000000004</v>
          </cell>
          <cell r="R18">
            <v>0.12</v>
          </cell>
          <cell r="S18">
            <v>0.01</v>
          </cell>
          <cell r="T18">
            <v>0.38</v>
          </cell>
          <cell r="U18">
            <v>0.97</v>
          </cell>
          <cell r="V18">
            <v>0.05</v>
          </cell>
          <cell r="W18">
            <v>0.95</v>
          </cell>
          <cell r="X18">
            <v>0.17</v>
          </cell>
          <cell r="Y18">
            <v>0.62</v>
          </cell>
          <cell r="Z18">
            <v>0.92</v>
          </cell>
        </row>
        <row r="21">
          <cell r="H21">
            <v>0.09</v>
          </cell>
          <cell r="I21">
            <v>0.54</v>
          </cell>
          <cell r="J21">
            <v>0.03</v>
          </cell>
          <cell r="K21">
            <v>0.21</v>
          </cell>
          <cell r="L21">
            <v>0.36</v>
          </cell>
          <cell r="M21">
            <v>0.26</v>
          </cell>
          <cell r="N21">
            <v>0.23</v>
          </cell>
          <cell r="O21">
            <v>0.22</v>
          </cell>
          <cell r="P21">
            <v>0.36</v>
          </cell>
          <cell r="Q21">
            <v>0.05</v>
          </cell>
          <cell r="R21">
            <v>0.68</v>
          </cell>
          <cell r="S21">
            <v>0.79</v>
          </cell>
          <cell r="T21">
            <v>0.03</v>
          </cell>
          <cell r="U21">
            <v>0.72</v>
          </cell>
          <cell r="V21">
            <v>0.01</v>
          </cell>
          <cell r="W21">
            <v>0.94</v>
          </cell>
          <cell r="X21">
            <v>0.31</v>
          </cell>
          <cell r="Y21">
            <v>0.83</v>
          </cell>
          <cell r="Z21">
            <v>0.83</v>
          </cell>
        </row>
        <row r="24">
          <cell r="H24">
            <v>0.03</v>
          </cell>
          <cell r="I24">
            <v>0.06</v>
          </cell>
          <cell r="J24">
            <v>0.09</v>
          </cell>
          <cell r="K24">
            <v>0.27</v>
          </cell>
          <cell r="L24">
            <v>0.09</v>
          </cell>
          <cell r="M24">
            <v>0.72</v>
          </cell>
          <cell r="N24">
            <v>0.4</v>
          </cell>
          <cell r="O24">
            <v>0.13</v>
          </cell>
          <cell r="P24">
            <v>0.88</v>
          </cell>
          <cell r="Q24">
            <v>0.01</v>
          </cell>
          <cell r="R24">
            <v>0.36</v>
          </cell>
          <cell r="S24">
            <v>0.08</v>
          </cell>
          <cell r="T24">
            <v>0.02</v>
          </cell>
          <cell r="U24">
            <v>0.28000000000000003</v>
          </cell>
          <cell r="V24">
            <v>0.35</v>
          </cell>
          <cell r="W24">
            <v>0.32</v>
          </cell>
          <cell r="X24">
            <v>0.13</v>
          </cell>
          <cell r="Y24">
            <v>0.06</v>
          </cell>
          <cell r="Z24">
            <v>0.79</v>
          </cell>
        </row>
        <row r="27">
          <cell r="H27">
            <v>0.01</v>
          </cell>
          <cell r="I27">
            <v>0.01</v>
          </cell>
          <cell r="J27">
            <v>0.22</v>
          </cell>
          <cell r="K27">
            <v>0.3</v>
          </cell>
          <cell r="L27">
            <v>0.11</v>
          </cell>
          <cell r="M27">
            <v>0.2</v>
          </cell>
          <cell r="N27">
            <v>0.4</v>
          </cell>
          <cell r="O27">
            <v>0.71</v>
          </cell>
          <cell r="P27">
            <v>0.74</v>
          </cell>
          <cell r="Q27">
            <v>0.05</v>
          </cell>
          <cell r="R27">
            <v>0.09</v>
          </cell>
          <cell r="S27">
            <v>0.35</v>
          </cell>
          <cell r="T27">
            <v>0.02</v>
          </cell>
          <cell r="U27">
            <v>0.05</v>
          </cell>
          <cell r="V27">
            <v>0.05</v>
          </cell>
          <cell r="W27">
            <v>0.1</v>
          </cell>
          <cell r="X27">
            <v>0.47</v>
          </cell>
          <cell r="Y27">
            <v>0.16</v>
          </cell>
          <cell r="Z27">
            <v>0.21</v>
          </cell>
        </row>
        <row r="30">
          <cell r="H30">
            <v>0.01</v>
          </cell>
          <cell r="I30">
            <v>0.03</v>
          </cell>
          <cell r="J30">
            <v>0.06</v>
          </cell>
          <cell r="K30">
            <v>0.03</v>
          </cell>
          <cell r="L30">
            <v>0.04</v>
          </cell>
          <cell r="M30">
            <v>0.85</v>
          </cell>
          <cell r="N30">
            <v>0.66</v>
          </cell>
          <cell r="O30">
            <v>0.37</v>
          </cell>
          <cell r="P30">
            <v>0.41</v>
          </cell>
          <cell r="Q30">
            <v>0.06</v>
          </cell>
          <cell r="R30">
            <v>0.49</v>
          </cell>
          <cell r="S30">
            <v>0.02</v>
          </cell>
          <cell r="T30">
            <v>0.01</v>
          </cell>
          <cell r="U30">
            <v>0.17</v>
          </cell>
          <cell r="V30">
            <v>0.14000000000000001</v>
          </cell>
          <cell r="W30">
            <v>0.74</v>
          </cell>
          <cell r="X30">
            <v>0.24</v>
          </cell>
          <cell r="Y30">
            <v>0.18</v>
          </cell>
          <cell r="Z30">
            <v>0.95</v>
          </cell>
        </row>
        <row r="33">
          <cell r="H33">
            <v>0.01</v>
          </cell>
          <cell r="I33">
            <v>0.01</v>
          </cell>
          <cell r="J33">
            <v>0.04</v>
          </cell>
          <cell r="K33">
            <v>0.06</v>
          </cell>
          <cell r="L33">
            <v>0.04</v>
          </cell>
          <cell r="M33">
            <v>0.45</v>
          </cell>
          <cell r="N33">
            <v>0.4</v>
          </cell>
          <cell r="O33">
            <v>0.36</v>
          </cell>
          <cell r="P33">
            <v>0.79</v>
          </cell>
          <cell r="Q33">
            <v>0.63</v>
          </cell>
          <cell r="R33">
            <v>0.14000000000000001</v>
          </cell>
          <cell r="S33">
            <v>0.56999999999999995</v>
          </cell>
          <cell r="T33">
            <v>0.05</v>
          </cell>
          <cell r="U33">
            <v>0.01</v>
          </cell>
          <cell r="V33">
            <v>0.01</v>
          </cell>
          <cell r="W33">
            <v>0.42</v>
          </cell>
          <cell r="X33">
            <v>0.48</v>
          </cell>
          <cell r="Y33">
            <v>0.16</v>
          </cell>
          <cell r="Z33">
            <v>0.87</v>
          </cell>
        </row>
        <row r="36">
          <cell r="H36">
            <v>0.01</v>
          </cell>
          <cell r="I36">
            <v>0.08</v>
          </cell>
          <cell r="J36">
            <v>0.01</v>
          </cell>
          <cell r="K36">
            <v>0.04</v>
          </cell>
          <cell r="L36">
            <v>0.18</v>
          </cell>
          <cell r="M36">
            <v>0.28000000000000003</v>
          </cell>
          <cell r="N36">
            <v>0.35</v>
          </cell>
          <cell r="O36">
            <v>0.45</v>
          </cell>
          <cell r="P36">
            <v>0.05</v>
          </cell>
          <cell r="Q36">
            <v>0.1</v>
          </cell>
          <cell r="R36">
            <v>0.7</v>
          </cell>
          <cell r="S36">
            <v>0.16</v>
          </cell>
          <cell r="T36">
            <v>0.22</v>
          </cell>
          <cell r="U36">
            <v>0.06</v>
          </cell>
          <cell r="V36">
            <v>0.02</v>
          </cell>
          <cell r="W36">
            <v>0.72</v>
          </cell>
          <cell r="X36">
            <v>0.14000000000000001</v>
          </cell>
          <cell r="Y36">
            <v>0.11</v>
          </cell>
          <cell r="Z36">
            <v>0.93</v>
          </cell>
        </row>
        <row r="39">
          <cell r="H39">
            <v>0.01</v>
          </cell>
          <cell r="I39">
            <v>0.06</v>
          </cell>
          <cell r="J39">
            <v>0.03</v>
          </cell>
          <cell r="K39">
            <v>0.1</v>
          </cell>
          <cell r="L39">
            <v>7.0000000000000007E-2</v>
          </cell>
          <cell r="M39">
            <v>0.64</v>
          </cell>
          <cell r="N39">
            <v>0.56000000000000005</v>
          </cell>
          <cell r="O39">
            <v>0.46</v>
          </cell>
          <cell r="P39">
            <v>0.27</v>
          </cell>
          <cell r="Q39">
            <v>0.64</v>
          </cell>
          <cell r="R39">
            <v>0.68</v>
          </cell>
          <cell r="S39">
            <v>0.1</v>
          </cell>
          <cell r="T39">
            <v>0.1</v>
          </cell>
          <cell r="U39">
            <v>0.08</v>
          </cell>
          <cell r="V39">
            <v>0.01</v>
          </cell>
          <cell r="W39">
            <v>0.37</v>
          </cell>
          <cell r="X39">
            <v>0.48</v>
          </cell>
          <cell r="Y39">
            <v>0.06</v>
          </cell>
          <cell r="Z39">
            <v>0.98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92"/>
  <sheetViews>
    <sheetView zoomScale="110" zoomScaleNormal="110" workbookViewId="0">
      <pane ySplit="1500" topLeftCell="A74" activePane="bottomLeft"/>
      <selection activeCell="H1" sqref="H1:H1048576"/>
      <selection pane="bottomLeft" activeCell="H94" sqref="H94"/>
    </sheetView>
  </sheetViews>
  <sheetFormatPr baseColWidth="10" defaultColWidth="8.83203125" defaultRowHeight="15" x14ac:dyDescent="0.2"/>
  <cols>
    <col min="3" max="3" width="9.1640625" customWidth="1"/>
    <col min="4" max="4" width="5.5" customWidth="1"/>
    <col min="5" max="5" width="9.33203125" customWidth="1"/>
    <col min="6" max="6" width="29.6640625" customWidth="1"/>
    <col min="7" max="7" width="11.6640625" customWidth="1"/>
    <col min="8" max="8" width="29.83203125" customWidth="1"/>
    <col min="9" max="27" width="7.33203125" customWidth="1"/>
    <col min="28" max="28" width="11.1640625" bestFit="1" customWidth="1"/>
  </cols>
  <sheetData>
    <row r="1" spans="2:31" x14ac:dyDescent="0.2">
      <c r="C1" t="s">
        <v>69</v>
      </c>
      <c r="E1" t="s">
        <v>359</v>
      </c>
    </row>
    <row r="3" spans="2:31" x14ac:dyDescent="0.2">
      <c r="B3" t="s">
        <v>68</v>
      </c>
      <c r="C3" t="s">
        <v>340</v>
      </c>
      <c r="D3" t="s">
        <v>341</v>
      </c>
      <c r="E3" t="s">
        <v>342</v>
      </c>
      <c r="F3" t="s">
        <v>4</v>
      </c>
      <c r="G3" t="s">
        <v>2</v>
      </c>
      <c r="H3" t="s">
        <v>343</v>
      </c>
      <c r="I3" t="s">
        <v>7</v>
      </c>
      <c r="J3" t="s">
        <v>344</v>
      </c>
      <c r="K3" t="s">
        <v>345</v>
      </c>
      <c r="L3" t="s">
        <v>86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87</v>
      </c>
      <c r="S3" t="s">
        <v>17</v>
      </c>
      <c r="T3" t="s">
        <v>18</v>
      </c>
      <c r="U3" t="s">
        <v>19</v>
      </c>
      <c r="V3" t="s">
        <v>346</v>
      </c>
      <c r="W3" t="s">
        <v>21</v>
      </c>
      <c r="X3" t="s">
        <v>22</v>
      </c>
      <c r="Y3" t="s">
        <v>23</v>
      </c>
      <c r="Z3" t="s">
        <v>347</v>
      </c>
      <c r="AA3" t="s">
        <v>25</v>
      </c>
      <c r="AB3" t="s">
        <v>83</v>
      </c>
      <c r="AC3" t="s">
        <v>84</v>
      </c>
      <c r="AD3" t="s">
        <v>338</v>
      </c>
      <c r="AE3" t="s">
        <v>339</v>
      </c>
    </row>
    <row r="4" spans="2:31" x14ac:dyDescent="0.2">
      <c r="B4">
        <v>55</v>
      </c>
      <c r="C4">
        <v>4434887</v>
      </c>
      <c r="D4" t="s">
        <v>26</v>
      </c>
      <c r="E4" t="s">
        <v>361</v>
      </c>
      <c r="F4" t="s">
        <v>27</v>
      </c>
      <c r="G4" t="s">
        <v>28</v>
      </c>
      <c r="H4" t="s">
        <v>29</v>
      </c>
      <c r="I4">
        <v>96</v>
      </c>
      <c r="J4">
        <v>70</v>
      </c>
      <c r="K4">
        <v>26</v>
      </c>
      <c r="L4">
        <v>19</v>
      </c>
      <c r="M4">
        <v>-4.7</v>
      </c>
      <c r="N4">
        <v>64</v>
      </c>
      <c r="O4">
        <v>94</v>
      </c>
      <c r="P4">
        <v>0.19</v>
      </c>
      <c r="Q4">
        <v>0.01</v>
      </c>
      <c r="R4">
        <v>20</v>
      </c>
      <c r="S4">
        <v>4</v>
      </c>
      <c r="T4">
        <v>15</v>
      </c>
      <c r="U4">
        <v>8</v>
      </c>
      <c r="V4">
        <v>18</v>
      </c>
      <c r="W4">
        <v>0.37</v>
      </c>
      <c r="X4">
        <v>0.19</v>
      </c>
      <c r="Y4">
        <v>7</v>
      </c>
      <c r="Z4">
        <v>-0.33</v>
      </c>
      <c r="AA4" s="10">
        <v>0.03</v>
      </c>
      <c r="AB4" s="17">
        <v>78.7</v>
      </c>
      <c r="AD4" s="17">
        <v>73.03</v>
      </c>
    </row>
    <row r="5" spans="2:31" x14ac:dyDescent="0.2">
      <c r="I5" s="15">
        <v>0.57999999999999996</v>
      </c>
      <c r="J5" s="15">
        <v>0.26</v>
      </c>
      <c r="K5" s="15">
        <v>0.86</v>
      </c>
      <c r="L5" s="15">
        <v>0.05</v>
      </c>
      <c r="M5" s="15">
        <v>0.08</v>
      </c>
      <c r="N5" s="15">
        <v>0.53</v>
      </c>
      <c r="O5" s="15">
        <v>0.69</v>
      </c>
      <c r="P5" s="15">
        <v>0.82</v>
      </c>
      <c r="Q5" s="15">
        <v>0.05</v>
      </c>
      <c r="R5" s="15">
        <v>0.88</v>
      </c>
      <c r="S5" s="15">
        <v>0.51</v>
      </c>
      <c r="T5" s="15">
        <v>0.15</v>
      </c>
      <c r="U5" s="15">
        <v>0.31</v>
      </c>
      <c r="V5" s="15">
        <v>0.26</v>
      </c>
      <c r="W5" s="15">
        <v>0.57999999999999996</v>
      </c>
      <c r="X5" s="15">
        <v>0.95</v>
      </c>
      <c r="Y5" s="15">
        <v>0.86</v>
      </c>
      <c r="Z5" s="15">
        <v>0.97</v>
      </c>
      <c r="AA5">
        <v>0.89</v>
      </c>
    </row>
    <row r="6" spans="2:31" x14ac:dyDescent="0.2">
      <c r="H6" t="s">
        <v>373</v>
      </c>
      <c r="I6" s="1">
        <f>[1]Cows!I5-I5</f>
        <v>-7.999999999999996E-2</v>
      </c>
      <c r="J6" s="1">
        <f>[1]Cows!J5-J5</f>
        <v>-4.0000000000000008E-2</v>
      </c>
      <c r="K6" s="1">
        <f>[1]Cows!K5-K5</f>
        <v>-3.0000000000000027E-2</v>
      </c>
      <c r="L6" s="1">
        <f>[1]Cows!L5-L5</f>
        <v>-1.0000000000000002E-2</v>
      </c>
      <c r="M6" s="1">
        <f>[1]Cows!M5-M5</f>
        <v>9.999999999999995E-3</v>
      </c>
      <c r="N6" s="1">
        <f>[1]Cows!N5-N5</f>
        <v>1.0000000000000009E-2</v>
      </c>
      <c r="O6" s="1">
        <f>[1]Cows!O5-O5</f>
        <v>1.0000000000000009E-2</v>
      </c>
      <c r="P6" s="1">
        <f>[1]Cows!P5-P5</f>
        <v>1.0000000000000009E-2</v>
      </c>
      <c r="Q6" s="1">
        <f>[1]Cows!Q5-Q5</f>
        <v>-1.0000000000000002E-2</v>
      </c>
      <c r="R6" s="1">
        <f>[1]Cows!R5-R5</f>
        <v>-1.0000000000000009E-2</v>
      </c>
      <c r="S6" s="1">
        <f>[1]Cows!S5-S5</f>
        <v>-2.0000000000000018E-2</v>
      </c>
      <c r="T6" s="1">
        <f>[1]Cows!T5-T5</f>
        <v>-0.03</v>
      </c>
      <c r="U6" s="1">
        <f>[1]Cows!U5-U5</f>
        <v>-4.9999999999999989E-2</v>
      </c>
      <c r="V6" s="1">
        <f>[1]Cows!V5-V5</f>
        <v>-1.0000000000000009E-2</v>
      </c>
      <c r="W6" s="1">
        <f>[1]Cows!W5-W5</f>
        <v>-6.9999999999999951E-2</v>
      </c>
      <c r="X6" s="1">
        <f>[1]Cows!X5-X5</f>
        <v>2.0000000000000018E-2</v>
      </c>
      <c r="Y6" s="1">
        <f>[1]Cows!Y5-Y5</f>
        <v>-2.0000000000000018E-2</v>
      </c>
      <c r="Z6" s="1">
        <f>[1]Cows!Z5-Z5</f>
        <v>2.0000000000000018E-2</v>
      </c>
      <c r="AA6" s="1">
        <f>[1]Cows!AA5-AA5</f>
        <v>0</v>
      </c>
    </row>
    <row r="7" spans="2:31" x14ac:dyDescent="0.2"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31" x14ac:dyDescent="0.2">
      <c r="B8">
        <v>58</v>
      </c>
      <c r="C8">
        <v>4512013</v>
      </c>
      <c r="D8" t="s">
        <v>26</v>
      </c>
      <c r="E8" t="s">
        <v>361</v>
      </c>
      <c r="F8" t="s">
        <v>31</v>
      </c>
      <c r="G8" t="s">
        <v>32</v>
      </c>
      <c r="H8" t="s">
        <v>33</v>
      </c>
      <c r="I8">
        <v>140</v>
      </c>
      <c r="J8">
        <v>76</v>
      </c>
      <c r="K8">
        <v>63</v>
      </c>
      <c r="L8">
        <v>15</v>
      </c>
      <c r="M8">
        <v>-5.7</v>
      </c>
      <c r="N8">
        <v>57</v>
      </c>
      <c r="O8">
        <v>93</v>
      </c>
      <c r="P8">
        <v>0.23</v>
      </c>
      <c r="Q8">
        <v>0.2</v>
      </c>
      <c r="R8">
        <v>26</v>
      </c>
      <c r="S8">
        <v>-4</v>
      </c>
      <c r="T8">
        <v>16</v>
      </c>
      <c r="U8">
        <v>9</v>
      </c>
      <c r="V8">
        <v>15</v>
      </c>
      <c r="W8">
        <v>0.33</v>
      </c>
      <c r="X8">
        <v>0.01</v>
      </c>
      <c r="Y8">
        <v>29</v>
      </c>
      <c r="Z8">
        <v>0.24</v>
      </c>
      <c r="AA8" s="10">
        <v>0</v>
      </c>
      <c r="AB8" s="17">
        <v>103.06</v>
      </c>
      <c r="AD8" s="17">
        <v>75.3</v>
      </c>
    </row>
    <row r="9" spans="2:31" x14ac:dyDescent="0.2">
      <c r="I9" s="15">
        <v>0.09</v>
      </c>
      <c r="J9" s="15">
        <v>0.17</v>
      </c>
      <c r="K9" s="15">
        <v>0.19</v>
      </c>
      <c r="L9" s="15">
        <v>0.28000000000000003</v>
      </c>
      <c r="M9" s="15">
        <v>0.03</v>
      </c>
      <c r="N9" s="15">
        <v>0.78</v>
      </c>
      <c r="O9" s="15">
        <v>0.71</v>
      </c>
      <c r="P9" s="15">
        <v>0.57999999999999996</v>
      </c>
      <c r="Q9" s="15">
        <v>0.12</v>
      </c>
      <c r="R9" s="15">
        <v>0.48</v>
      </c>
      <c r="S9" s="15">
        <v>0.15</v>
      </c>
      <c r="T9" s="15">
        <v>0.06</v>
      </c>
      <c r="U9" s="15">
        <v>0.15</v>
      </c>
      <c r="V9" s="15">
        <v>0.57999999999999996</v>
      </c>
      <c r="W9" s="15">
        <v>0.68</v>
      </c>
      <c r="X9" s="15">
        <v>0.25</v>
      </c>
      <c r="Y9" s="15">
        <v>0.2</v>
      </c>
      <c r="Z9" s="15">
        <v>0.18</v>
      </c>
      <c r="AA9">
        <v>0.25</v>
      </c>
    </row>
    <row r="10" spans="2:31" x14ac:dyDescent="0.2">
      <c r="H10" t="s">
        <v>373</v>
      </c>
      <c r="I10" s="1">
        <f>[1]Cows!I8-I9</f>
        <v>1.0000000000000009E-2</v>
      </c>
      <c r="J10" s="1">
        <f>[1]Cows!J8-J9</f>
        <v>0</v>
      </c>
      <c r="K10" s="1">
        <f>[1]Cows!K8-K9</f>
        <v>1.999999999999999E-2</v>
      </c>
      <c r="L10" s="1">
        <f>[1]Cows!L8-L9</f>
        <v>-5.0000000000000017E-2</v>
      </c>
      <c r="M10" s="1">
        <f>[1]Cows!M8-M9</f>
        <v>0</v>
      </c>
      <c r="N10" s="1">
        <f>[1]Cows!N8-N9</f>
        <v>2.0000000000000018E-2</v>
      </c>
      <c r="O10" s="1">
        <f>[1]Cows!O8-O9</f>
        <v>1.0000000000000009E-2</v>
      </c>
      <c r="P10" s="1">
        <f>[1]Cows!P8-P9</f>
        <v>0</v>
      </c>
      <c r="Q10" s="1">
        <f>[1]Cows!Q8-Q9</f>
        <v>5.0000000000000017E-2</v>
      </c>
      <c r="R10" s="1">
        <f>[1]Cows!R8-R9</f>
        <v>8.9999999999999969E-2</v>
      </c>
      <c r="S10" s="1">
        <f>[1]Cows!S8-S9</f>
        <v>-9.9999999999999811E-3</v>
      </c>
      <c r="T10" s="1">
        <f>[1]Cows!T8-T9</f>
        <v>-4.9999999999999996E-2</v>
      </c>
      <c r="U10" s="1">
        <f>[1]Cows!U8-U9</f>
        <v>-3.9999999999999994E-2</v>
      </c>
      <c r="V10" s="1">
        <f>[1]Cows!V8-V9</f>
        <v>0.13</v>
      </c>
      <c r="W10" s="1">
        <f>[1]Cows!W8-W9</f>
        <v>-5.0000000000000044E-2</v>
      </c>
      <c r="X10" s="1">
        <f>[1]Cows!X8-X9</f>
        <v>1.0000000000000009E-2</v>
      </c>
      <c r="Y10" s="1">
        <f>[1]Cows!Y8-Y9</f>
        <v>3.999999999999998E-2</v>
      </c>
      <c r="Z10" s="1">
        <f>[1]Cows!Z8-Z9</f>
        <v>0.03</v>
      </c>
      <c r="AA10" s="1">
        <f>[1]Cows!AA8-AA9</f>
        <v>2.0000000000000018E-2</v>
      </c>
    </row>
    <row r="11" spans="2:31" x14ac:dyDescent="0.2"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2:31" x14ac:dyDescent="0.2">
      <c r="B12">
        <v>107</v>
      </c>
      <c r="C12">
        <v>4512039</v>
      </c>
      <c r="D12" t="s">
        <v>26</v>
      </c>
      <c r="E12" t="s">
        <v>361</v>
      </c>
      <c r="F12" t="s">
        <v>34</v>
      </c>
      <c r="G12" t="s">
        <v>35</v>
      </c>
      <c r="H12" t="s">
        <v>36</v>
      </c>
      <c r="I12">
        <v>139</v>
      </c>
      <c r="J12">
        <v>81</v>
      </c>
      <c r="K12">
        <v>58</v>
      </c>
      <c r="L12">
        <v>15</v>
      </c>
      <c r="M12">
        <v>-2.1</v>
      </c>
      <c r="N12">
        <v>66</v>
      </c>
      <c r="O12">
        <v>104</v>
      </c>
      <c r="P12">
        <v>0.24</v>
      </c>
      <c r="Q12">
        <v>0.56000000000000005</v>
      </c>
      <c r="R12">
        <v>18</v>
      </c>
      <c r="S12">
        <v>10</v>
      </c>
      <c r="T12">
        <v>15</v>
      </c>
      <c r="U12">
        <v>8</v>
      </c>
      <c r="V12">
        <v>19</v>
      </c>
      <c r="W12">
        <v>0.73</v>
      </c>
      <c r="X12">
        <v>0.18</v>
      </c>
      <c r="Y12">
        <v>13</v>
      </c>
      <c r="Z12">
        <v>-0.08</v>
      </c>
      <c r="AA12" s="10">
        <v>0.05</v>
      </c>
      <c r="AB12" s="10">
        <v>25</v>
      </c>
      <c r="AC12">
        <v>1.24</v>
      </c>
    </row>
    <row r="13" spans="2:31" x14ac:dyDescent="0.2">
      <c r="I13" s="15">
        <v>0.1</v>
      </c>
      <c r="J13" s="15">
        <v>0.12</v>
      </c>
      <c r="K13" s="15">
        <v>0.28000000000000003</v>
      </c>
      <c r="L13" s="15">
        <v>0.31</v>
      </c>
      <c r="M13" s="15">
        <v>0.42</v>
      </c>
      <c r="N13" s="15">
        <v>0.44</v>
      </c>
      <c r="O13" s="15">
        <v>0.45</v>
      </c>
      <c r="P13" s="15">
        <v>0.47</v>
      </c>
      <c r="Q13" s="15">
        <v>0.43</v>
      </c>
      <c r="R13" s="15">
        <v>0.93</v>
      </c>
      <c r="S13" s="15">
        <v>0.85</v>
      </c>
      <c r="T13" s="15">
        <v>0.11</v>
      </c>
      <c r="U13" s="15">
        <v>0.22</v>
      </c>
      <c r="V13" s="15">
        <v>0.13</v>
      </c>
      <c r="W13" s="15">
        <v>7.0000000000000007E-2</v>
      </c>
      <c r="X13" s="15">
        <v>0.94</v>
      </c>
      <c r="Y13" s="15">
        <v>0.7</v>
      </c>
      <c r="Z13" s="15">
        <v>0.76</v>
      </c>
      <c r="AA13" s="11">
        <v>0.98</v>
      </c>
      <c r="AB13" s="11">
        <v>0.374</v>
      </c>
      <c r="AC13" s="1">
        <v>0.53</v>
      </c>
    </row>
    <row r="14" spans="2:31" x14ac:dyDescent="0.2">
      <c r="H14" t="s">
        <v>373</v>
      </c>
      <c r="I14" s="1">
        <f>[1]Cows!I11-I13</f>
        <v>-2.0000000000000004E-2</v>
      </c>
      <c r="J14" s="1">
        <f>[1]Cows!J11-J13</f>
        <v>-9.999999999999995E-3</v>
      </c>
      <c r="K14" s="1">
        <f>[1]Cows!K11-K13</f>
        <v>-2.0000000000000018E-2</v>
      </c>
      <c r="L14" s="1">
        <f>[1]Cows!L11-L13</f>
        <v>0</v>
      </c>
      <c r="M14" s="1">
        <f>[1]Cows!M11-M13</f>
        <v>-1.9999999999999962E-2</v>
      </c>
      <c r="N14" s="1">
        <f>[1]Cows!N11-N13</f>
        <v>0</v>
      </c>
      <c r="O14" s="1">
        <f>[1]Cows!O11-O13</f>
        <v>-1.0000000000000009E-2</v>
      </c>
      <c r="P14" s="1">
        <f>[1]Cows!P11-P13</f>
        <v>-2.9999999999999971E-2</v>
      </c>
      <c r="Q14" s="1">
        <f>[1]Cows!Q11-Q13</f>
        <v>8.0000000000000016E-2</v>
      </c>
      <c r="R14" s="1">
        <f>[1]Cows!R11-R13</f>
        <v>-3.0000000000000027E-2</v>
      </c>
      <c r="S14" s="1">
        <f>[1]Cows!S11-S13</f>
        <v>-1.0000000000000009E-2</v>
      </c>
      <c r="T14" s="1">
        <f>[1]Cows!T11-T13</f>
        <v>-0.05</v>
      </c>
      <c r="U14" s="1">
        <f>[1]Cows!U11-U13</f>
        <v>-4.9999999999999989E-2</v>
      </c>
      <c r="V14" s="1">
        <f>[1]Cows!V11-V13</f>
        <v>4.0000000000000008E-2</v>
      </c>
      <c r="W14" s="1">
        <f>[1]Cows!W11-W13</f>
        <v>-1.0000000000000009E-2</v>
      </c>
      <c r="X14" s="1">
        <f>[1]Cows!X11-X13</f>
        <v>0</v>
      </c>
      <c r="Y14" s="1">
        <f>[1]Cows!Y11-Y13</f>
        <v>-1.0000000000000009E-2</v>
      </c>
      <c r="Z14" s="1">
        <f>[1]Cows!Z11-Z13</f>
        <v>-3.0000000000000027E-2</v>
      </c>
      <c r="AA14" s="1">
        <f>[1]Cows!AA11-AA13</f>
        <v>0</v>
      </c>
    </row>
    <row r="15" spans="2:31" x14ac:dyDescent="0.2"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31" x14ac:dyDescent="0.2">
      <c r="B16" s="2" t="s">
        <v>37</v>
      </c>
      <c r="C16">
        <v>4558057</v>
      </c>
      <c r="D16" t="s">
        <v>26</v>
      </c>
      <c r="E16" t="s">
        <v>361</v>
      </c>
      <c r="F16" t="s">
        <v>37</v>
      </c>
      <c r="G16" t="s">
        <v>38</v>
      </c>
      <c r="H16" t="s">
        <v>39</v>
      </c>
      <c r="I16">
        <v>101</v>
      </c>
      <c r="J16">
        <v>45</v>
      </c>
      <c r="K16">
        <v>57</v>
      </c>
      <c r="L16">
        <v>15</v>
      </c>
      <c r="M16">
        <v>-3</v>
      </c>
      <c r="N16">
        <v>68</v>
      </c>
      <c r="O16">
        <v>98</v>
      </c>
      <c r="P16">
        <v>0.19</v>
      </c>
      <c r="Q16">
        <v>0.56999999999999995</v>
      </c>
      <c r="R16">
        <v>32</v>
      </c>
      <c r="S16">
        <v>4</v>
      </c>
      <c r="T16">
        <v>16</v>
      </c>
      <c r="U16">
        <v>7</v>
      </c>
      <c r="V16">
        <v>12</v>
      </c>
      <c r="W16">
        <v>0.64</v>
      </c>
      <c r="X16">
        <v>0.04</v>
      </c>
      <c r="Y16">
        <v>22</v>
      </c>
      <c r="Z16">
        <v>0.16</v>
      </c>
      <c r="AA16" s="10">
        <v>0.02</v>
      </c>
      <c r="AB16" s="10">
        <v>124</v>
      </c>
      <c r="AC16">
        <v>2.06</v>
      </c>
    </row>
    <row r="17" spans="2:29" x14ac:dyDescent="0.2">
      <c r="B17" s="2"/>
      <c r="I17" s="15">
        <v>0.5</v>
      </c>
      <c r="J17" s="15">
        <v>0.69</v>
      </c>
      <c r="K17" s="15">
        <v>0.28999999999999998</v>
      </c>
      <c r="L17" s="15">
        <v>0.25</v>
      </c>
      <c r="M17" s="15">
        <v>0.27</v>
      </c>
      <c r="N17" s="15">
        <v>0.37</v>
      </c>
      <c r="O17" s="15">
        <v>0.6</v>
      </c>
      <c r="P17" s="15">
        <v>0.81</v>
      </c>
      <c r="Q17" s="15">
        <v>0.44</v>
      </c>
      <c r="R17" s="15">
        <v>0.11</v>
      </c>
      <c r="S17" s="15">
        <v>0.52</v>
      </c>
      <c r="T17" s="15">
        <v>0.05</v>
      </c>
      <c r="U17" s="15">
        <v>0.44</v>
      </c>
      <c r="V17" s="15">
        <v>0.88</v>
      </c>
      <c r="W17" s="15">
        <v>0.13</v>
      </c>
      <c r="X17" s="15">
        <v>0.43</v>
      </c>
      <c r="Y17" s="15">
        <v>0.39</v>
      </c>
      <c r="Z17" s="15">
        <v>0.28999999999999998</v>
      </c>
      <c r="AA17" s="11">
        <v>0.6</v>
      </c>
      <c r="AB17" s="11">
        <v>8.9999999999999993E-3</v>
      </c>
      <c r="AC17" s="1">
        <v>0.04</v>
      </c>
    </row>
    <row r="18" spans="2:29" x14ac:dyDescent="0.2">
      <c r="H18" t="s">
        <v>373</v>
      </c>
      <c r="I18" s="1">
        <f>[1]Cows!I14-I17</f>
        <v>0</v>
      </c>
      <c r="J18" s="1">
        <f>[1]Cows!J14-J17</f>
        <v>-5.9999999999999942E-2</v>
      </c>
      <c r="K18" s="1">
        <f>[1]Cows!K14-K17</f>
        <v>5.0000000000000044E-2</v>
      </c>
      <c r="L18" s="1">
        <f>[1]Cows!L14-L17</f>
        <v>3.999999999999998E-2</v>
      </c>
      <c r="M18" s="1">
        <f>[1]Cows!M14-M17</f>
        <v>0</v>
      </c>
      <c r="N18" s="1">
        <f>[1]Cows!N14-N17</f>
        <v>-2.9999999999999971E-2</v>
      </c>
      <c r="O18" s="1">
        <f>[1]Cows!O14-O17</f>
        <v>-3.9999999999999925E-2</v>
      </c>
      <c r="P18" s="1">
        <f>[1]Cows!P14-P17</f>
        <v>-3.0000000000000027E-2</v>
      </c>
      <c r="Q18" s="1">
        <f>[1]Cows!Q14-Q17</f>
        <v>8.0000000000000016E-2</v>
      </c>
      <c r="R18" s="1">
        <f>[1]Cows!R14-R17</f>
        <v>9.999999999999995E-3</v>
      </c>
      <c r="S18" s="1">
        <f>[1]Cows!S14-S17</f>
        <v>-1.0000000000000009E-2</v>
      </c>
      <c r="T18" s="1">
        <f>[1]Cows!T14-T17</f>
        <v>-0.04</v>
      </c>
      <c r="U18" s="1">
        <f>[1]Cows!U14-U17</f>
        <v>4.9999999999999989E-2</v>
      </c>
      <c r="V18" s="1">
        <f>[1]Cows!V14-V17</f>
        <v>2.0000000000000018E-2</v>
      </c>
      <c r="W18" s="1">
        <f>[1]Cows!W14-W17</f>
        <v>0</v>
      </c>
      <c r="X18" s="1">
        <f>[1]Cows!X14-X17</f>
        <v>-4.9999999999999989E-2</v>
      </c>
      <c r="Y18" s="1">
        <f>[1]Cows!Y14-Y17</f>
        <v>8.9999999999999969E-2</v>
      </c>
      <c r="Z18" s="1">
        <f>[1]Cows!Z14-Z17</f>
        <v>1.0000000000000009E-2</v>
      </c>
      <c r="AA18" s="1">
        <f>[1]Cows!AA14-AA17</f>
        <v>-2.0000000000000018E-2</v>
      </c>
    </row>
    <row r="19" spans="2:29" x14ac:dyDescent="0.2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9" x14ac:dyDescent="0.2">
      <c r="B20">
        <v>78</v>
      </c>
      <c r="C20">
        <v>4597693</v>
      </c>
      <c r="D20" t="s">
        <v>26</v>
      </c>
      <c r="E20" t="s">
        <v>361</v>
      </c>
      <c r="F20" t="s">
        <v>40</v>
      </c>
      <c r="G20" t="s">
        <v>41</v>
      </c>
      <c r="H20" t="s">
        <v>42</v>
      </c>
      <c r="I20">
        <v>126</v>
      </c>
      <c r="J20">
        <v>80</v>
      </c>
      <c r="K20">
        <v>46</v>
      </c>
      <c r="L20">
        <v>16</v>
      </c>
      <c r="M20">
        <v>-3.4</v>
      </c>
      <c r="N20">
        <v>65</v>
      </c>
      <c r="O20">
        <v>102</v>
      </c>
      <c r="P20">
        <v>0.23</v>
      </c>
      <c r="Q20">
        <v>0.37</v>
      </c>
      <c r="R20">
        <v>31</v>
      </c>
      <c r="S20">
        <v>-8</v>
      </c>
      <c r="T20">
        <v>15</v>
      </c>
      <c r="U20">
        <v>9</v>
      </c>
      <c r="V20">
        <v>15</v>
      </c>
      <c r="W20">
        <v>0.71</v>
      </c>
      <c r="X20">
        <v>0.12</v>
      </c>
      <c r="Y20">
        <v>-1</v>
      </c>
      <c r="Z20">
        <v>-0.39</v>
      </c>
      <c r="AA20" s="10">
        <v>0.01</v>
      </c>
      <c r="AB20" s="10">
        <v>111</v>
      </c>
      <c r="AC20">
        <v>2.56</v>
      </c>
    </row>
    <row r="21" spans="2:29" x14ac:dyDescent="0.2">
      <c r="I21" s="15">
        <v>0.19</v>
      </c>
      <c r="J21" s="15">
        <v>0.13</v>
      </c>
      <c r="K21" s="15">
        <v>0.5</v>
      </c>
      <c r="L21" s="15">
        <v>0.2</v>
      </c>
      <c r="M21" s="15">
        <v>0.21</v>
      </c>
      <c r="N21" s="15">
        <v>0.48</v>
      </c>
      <c r="O21" s="15">
        <v>0.51</v>
      </c>
      <c r="P21" s="15">
        <v>0.54</v>
      </c>
      <c r="Q21" s="15">
        <v>0.24</v>
      </c>
      <c r="R21" s="15">
        <v>0.14000000000000001</v>
      </c>
      <c r="S21" s="15">
        <v>0.08</v>
      </c>
      <c r="T21" s="15">
        <v>0.11</v>
      </c>
      <c r="U21" s="15">
        <v>0.15</v>
      </c>
      <c r="V21" s="15">
        <v>0.56999999999999995</v>
      </c>
      <c r="W21" s="15">
        <v>0.08</v>
      </c>
      <c r="X21" s="15">
        <v>0.8</v>
      </c>
      <c r="Y21" s="15">
        <v>0.96</v>
      </c>
      <c r="Z21" s="15">
        <v>0.99</v>
      </c>
      <c r="AA21" s="11">
        <v>0.48</v>
      </c>
      <c r="AB21" s="11">
        <v>1.7999999999999999E-2</v>
      </c>
      <c r="AC21" s="1">
        <v>0</v>
      </c>
    </row>
    <row r="22" spans="2:29" x14ac:dyDescent="0.2">
      <c r="H22" t="s">
        <v>373</v>
      </c>
      <c r="I22" s="1">
        <f>[1]Cows!I17-I21</f>
        <v>-0.1</v>
      </c>
      <c r="J22" s="1">
        <f>[1]Cows!J17-J21</f>
        <v>-0.08</v>
      </c>
      <c r="K22" s="1">
        <f>[1]Cows!K17-K21</f>
        <v>-1.0000000000000009E-2</v>
      </c>
      <c r="L22" s="1">
        <f>[1]Cows!L17-L21</f>
        <v>0</v>
      </c>
      <c r="M22" s="1">
        <f>[1]Cows!M17-M21</f>
        <v>-9.9999999999999811E-3</v>
      </c>
      <c r="N22" s="1">
        <f>[1]Cows!N17-N21</f>
        <v>-2.9999999999999971E-2</v>
      </c>
      <c r="O22" s="1">
        <f>[1]Cows!O17-O21</f>
        <v>-4.0000000000000036E-2</v>
      </c>
      <c r="P22" s="1">
        <f>[1]Cows!P17-P21</f>
        <v>-4.0000000000000036E-2</v>
      </c>
      <c r="Q22" s="1">
        <f>[1]Cows!Q17-Q21</f>
        <v>3.0000000000000027E-2</v>
      </c>
      <c r="R22" s="1">
        <f>[1]Cows!R17-R21</f>
        <v>0</v>
      </c>
      <c r="S22" s="1">
        <f>[1]Cows!S17-S21</f>
        <v>-9.999999999999995E-3</v>
      </c>
      <c r="T22" s="1">
        <f>[1]Cows!T17-T21</f>
        <v>-7.0000000000000007E-2</v>
      </c>
      <c r="U22" s="1">
        <f>[1]Cows!U17-U21</f>
        <v>-1.999999999999999E-2</v>
      </c>
      <c r="V22" s="1">
        <f>[1]Cows!V17-V21</f>
        <v>-0.14999999999999997</v>
      </c>
      <c r="W22" s="1">
        <f>[1]Cows!W17-W21</f>
        <v>-9.999999999999995E-3</v>
      </c>
      <c r="X22" s="1">
        <f>[1]Cows!X17-X21</f>
        <v>-2.0000000000000018E-2</v>
      </c>
      <c r="Y22" s="1">
        <f>[1]Cows!Y17-Y21</f>
        <v>0</v>
      </c>
      <c r="Z22" s="1">
        <f>[1]Cows!Z17-Z21</f>
        <v>0</v>
      </c>
      <c r="AA22" s="1">
        <f>[1]Cows!AA17-AA21</f>
        <v>1.0000000000000009E-2</v>
      </c>
    </row>
    <row r="23" spans="2:29" x14ac:dyDescent="0.2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2:29" x14ac:dyDescent="0.2">
      <c r="B24">
        <v>67</v>
      </c>
      <c r="C24">
        <v>4677879</v>
      </c>
      <c r="D24" t="s">
        <v>26</v>
      </c>
      <c r="E24" t="s">
        <v>361</v>
      </c>
      <c r="F24" t="s">
        <v>43</v>
      </c>
      <c r="G24" t="s">
        <v>44</v>
      </c>
      <c r="H24" t="s">
        <v>45</v>
      </c>
      <c r="I24">
        <v>159</v>
      </c>
      <c r="J24">
        <v>101</v>
      </c>
      <c r="K24">
        <v>58</v>
      </c>
      <c r="L24">
        <v>19</v>
      </c>
      <c r="M24">
        <v>-4.5</v>
      </c>
      <c r="N24">
        <v>66</v>
      </c>
      <c r="O24">
        <v>98</v>
      </c>
      <c r="P24">
        <v>0.2</v>
      </c>
      <c r="Q24">
        <v>0.12</v>
      </c>
      <c r="R24">
        <v>25</v>
      </c>
      <c r="S24">
        <v>-5</v>
      </c>
      <c r="T24">
        <v>19</v>
      </c>
      <c r="U24">
        <v>9</v>
      </c>
      <c r="V24">
        <v>18</v>
      </c>
      <c r="W24">
        <v>0.52</v>
      </c>
      <c r="X24">
        <v>0</v>
      </c>
      <c r="Y24">
        <v>18</v>
      </c>
      <c r="Z24">
        <v>0.18</v>
      </c>
      <c r="AA24" s="10">
        <v>0</v>
      </c>
      <c r="AB24" s="10">
        <v>126</v>
      </c>
      <c r="AC24" s="12">
        <v>2.62</v>
      </c>
    </row>
    <row r="25" spans="2:29" x14ac:dyDescent="0.2">
      <c r="I25" s="15">
        <v>0.02</v>
      </c>
      <c r="J25" s="15">
        <v>0.02</v>
      </c>
      <c r="K25" s="15">
        <v>0.27</v>
      </c>
      <c r="L25" s="15">
        <v>0.05</v>
      </c>
      <c r="M25" s="15">
        <v>0.1</v>
      </c>
      <c r="N25" s="15">
        <v>0.43</v>
      </c>
      <c r="O25" s="15">
        <v>0.57999999999999996</v>
      </c>
      <c r="P25" s="15">
        <v>0.74</v>
      </c>
      <c r="Q25" s="15">
        <v>0.08</v>
      </c>
      <c r="R25" s="15">
        <v>0.59</v>
      </c>
      <c r="S25" s="15">
        <v>0.13</v>
      </c>
      <c r="T25" s="15">
        <v>0.01</v>
      </c>
      <c r="U25" s="15">
        <v>0.12</v>
      </c>
      <c r="V25" s="15">
        <v>0.23</v>
      </c>
      <c r="W25" s="15">
        <v>0.28000000000000003</v>
      </c>
      <c r="X25" s="15">
        <v>0.2</v>
      </c>
      <c r="Y25" s="15">
        <v>0.52</v>
      </c>
      <c r="Z25" s="15">
        <v>0.26</v>
      </c>
      <c r="AA25" s="11">
        <v>0.35</v>
      </c>
      <c r="AB25" s="11">
        <v>8.0000000000000002E-3</v>
      </c>
      <c r="AC25" s="1">
        <v>0</v>
      </c>
    </row>
    <row r="26" spans="2:29" x14ac:dyDescent="0.2">
      <c r="H26" t="s">
        <v>373</v>
      </c>
      <c r="I26" s="1">
        <f>[1]Cows!I20-I25</f>
        <v>0</v>
      </c>
      <c r="J26" s="1">
        <f>[1]Cows!J20-J25</f>
        <v>9.9999999999999985E-3</v>
      </c>
      <c r="K26" s="1">
        <f>[1]Cows!K20-K25</f>
        <v>-5.0000000000000017E-2</v>
      </c>
      <c r="L26" s="1">
        <f>[1]Cows!L20-L25</f>
        <v>9.999999999999995E-3</v>
      </c>
      <c r="M26" s="1">
        <f>[1]Cows!M20-M25</f>
        <v>0</v>
      </c>
      <c r="N26" s="1">
        <f>[1]Cows!N20-N25</f>
        <v>-1.0000000000000009E-2</v>
      </c>
      <c r="O26" s="1">
        <f>[1]Cows!O20-O25</f>
        <v>0</v>
      </c>
      <c r="P26" s="1">
        <f>[1]Cows!P20-P25</f>
        <v>0</v>
      </c>
      <c r="Q26" s="1">
        <f>[1]Cows!Q20-Q25</f>
        <v>0</v>
      </c>
      <c r="R26" s="1">
        <f>[1]Cows!R20-R25</f>
        <v>0</v>
      </c>
      <c r="S26" s="1">
        <f>[1]Cows!S20-S25</f>
        <v>0.03</v>
      </c>
      <c r="T26" s="1">
        <f>[1]Cows!T20-T25</f>
        <v>0</v>
      </c>
      <c r="U26" s="1">
        <f>[1]Cows!U20-U25</f>
        <v>2.0000000000000018E-2</v>
      </c>
      <c r="V26" s="1">
        <f>[1]Cows!V20-V25</f>
        <v>4.0000000000000008E-2</v>
      </c>
      <c r="W26" s="1">
        <f>[1]Cows!W20-W25</f>
        <v>-4.0000000000000036E-2</v>
      </c>
      <c r="X26" s="1">
        <f>[1]Cows!X20-X25</f>
        <v>0</v>
      </c>
      <c r="Y26" s="1">
        <f>[1]Cows!Y20-Y25</f>
        <v>-0.06</v>
      </c>
      <c r="Z26" s="1">
        <f>[1]Cows!Z20-Z25</f>
        <v>-7.0000000000000007E-2</v>
      </c>
      <c r="AA26" s="1">
        <f>[1]Cows!AA20-AA25</f>
        <v>8.0000000000000016E-2</v>
      </c>
    </row>
    <row r="27" spans="2:29" x14ac:dyDescent="0.2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29" x14ac:dyDescent="0.2">
      <c r="B28" s="2" t="s">
        <v>46</v>
      </c>
      <c r="C28">
        <v>4696683</v>
      </c>
      <c r="D28" t="s">
        <v>26</v>
      </c>
      <c r="E28" t="s">
        <v>361</v>
      </c>
      <c r="F28" t="s">
        <v>46</v>
      </c>
      <c r="G28" t="s">
        <v>47</v>
      </c>
      <c r="H28" t="s">
        <v>48</v>
      </c>
      <c r="I28">
        <v>152</v>
      </c>
      <c r="J28">
        <v>108</v>
      </c>
      <c r="K28">
        <v>44</v>
      </c>
      <c r="L28">
        <v>18</v>
      </c>
      <c r="M28">
        <v>-6.9</v>
      </c>
      <c r="N28">
        <v>56</v>
      </c>
      <c r="O28">
        <v>82</v>
      </c>
      <c r="P28">
        <v>0.16</v>
      </c>
      <c r="Q28">
        <v>0.06</v>
      </c>
      <c r="R28">
        <v>24</v>
      </c>
      <c r="S28">
        <v>-8</v>
      </c>
      <c r="T28">
        <v>16</v>
      </c>
      <c r="U28">
        <v>8</v>
      </c>
      <c r="V28">
        <v>21</v>
      </c>
      <c r="W28">
        <v>0.5</v>
      </c>
      <c r="X28">
        <v>-0.02</v>
      </c>
      <c r="Y28">
        <v>7</v>
      </c>
      <c r="Z28">
        <v>-0.04</v>
      </c>
      <c r="AA28" s="10">
        <v>-0.01</v>
      </c>
      <c r="AB28" s="10">
        <v>136</v>
      </c>
      <c r="AC28">
        <v>2.78</v>
      </c>
    </row>
    <row r="29" spans="2:29" x14ac:dyDescent="0.2">
      <c r="I29" s="15">
        <v>0.04</v>
      </c>
      <c r="J29" s="15">
        <v>0.01</v>
      </c>
      <c r="K29" s="15">
        <v>0.53</v>
      </c>
      <c r="L29" s="15">
        <v>0.09</v>
      </c>
      <c r="M29" s="15">
        <v>0.01</v>
      </c>
      <c r="N29" s="15">
        <v>0.79</v>
      </c>
      <c r="O29" s="15">
        <v>0.87</v>
      </c>
      <c r="P29" s="15">
        <v>0.92</v>
      </c>
      <c r="Q29" s="15">
        <v>0.06</v>
      </c>
      <c r="R29" s="15">
        <v>0.62</v>
      </c>
      <c r="S29" s="15">
        <v>0.08</v>
      </c>
      <c r="T29" s="15">
        <v>7.0000000000000007E-2</v>
      </c>
      <c r="U29" s="15">
        <v>0.21</v>
      </c>
      <c r="V29" s="15">
        <v>0.05</v>
      </c>
      <c r="W29" s="15">
        <v>0.31</v>
      </c>
      <c r="X29" s="15">
        <v>0.16</v>
      </c>
      <c r="Y29" s="15">
        <v>0.86</v>
      </c>
      <c r="Z29" s="15">
        <v>0.69</v>
      </c>
      <c r="AA29" s="1">
        <v>0.11</v>
      </c>
      <c r="AB29" s="1">
        <v>0.01</v>
      </c>
      <c r="AC29" s="1">
        <v>0.01</v>
      </c>
    </row>
    <row r="30" spans="2:29" x14ac:dyDescent="0.2">
      <c r="H30" t="s">
        <v>373</v>
      </c>
      <c r="I30" s="1">
        <f>[1]Cows!I23-I29</f>
        <v>3.0000000000000006E-2</v>
      </c>
      <c r="J30" s="1">
        <f>[1]Cows!J23-J29</f>
        <v>1.9999999999999997E-2</v>
      </c>
      <c r="K30" s="1">
        <f>[1]Cows!K23-K29</f>
        <v>-5.0000000000000044E-2</v>
      </c>
      <c r="L30" s="1">
        <f>[1]Cows!L23-L29</f>
        <v>1.0000000000000009E-2</v>
      </c>
      <c r="M30" s="1">
        <f>[1]Cows!M23-M29</f>
        <v>0</v>
      </c>
      <c r="N30" s="1">
        <f>[1]Cows!N23-N29</f>
        <v>-5.0000000000000044E-2</v>
      </c>
      <c r="O30" s="1">
        <f>[1]Cows!O23-O29</f>
        <v>-2.0000000000000018E-2</v>
      </c>
      <c r="P30" s="1">
        <f>[1]Cows!P23-P29</f>
        <v>-1.0000000000000009E-2</v>
      </c>
      <c r="Q30" s="1">
        <f>[1]Cows!Q23-Q29</f>
        <v>2.0000000000000004E-2</v>
      </c>
      <c r="R30" s="1">
        <f>[1]Cows!R23-R29</f>
        <v>-6.9999999999999951E-2</v>
      </c>
      <c r="S30" s="1">
        <f>[1]Cows!S23-S29</f>
        <v>9.999999999999995E-3</v>
      </c>
      <c r="T30" s="1">
        <f>[1]Cows!T23-T29</f>
        <v>-3.0000000000000006E-2</v>
      </c>
      <c r="U30" s="1">
        <f>[1]Cows!U23-U29</f>
        <v>-0.03</v>
      </c>
      <c r="V30" s="1">
        <f>[1]Cows!V23-V29</f>
        <v>0.14000000000000001</v>
      </c>
      <c r="W30" s="1">
        <f>[1]Cows!W23-W29</f>
        <v>-1.0000000000000009E-2</v>
      </c>
      <c r="X30" s="1">
        <f>[1]Cows!X23-X29</f>
        <v>-4.0000000000000008E-2</v>
      </c>
      <c r="Y30" s="1">
        <f>[1]Cows!Y23-Y29</f>
        <v>-4.9999999999999933E-2</v>
      </c>
      <c r="Z30" s="1">
        <f>[1]Cows!Z23-Z29</f>
        <v>-0.17999999999999994</v>
      </c>
      <c r="AA30" s="1">
        <f>[1]Cows!AA23-AA29</f>
        <v>0</v>
      </c>
    </row>
    <row r="31" spans="2:29" x14ac:dyDescent="0.2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29" x14ac:dyDescent="0.2">
      <c r="B32" s="2" t="s">
        <v>49</v>
      </c>
      <c r="C32">
        <v>4696751</v>
      </c>
      <c r="D32" t="s">
        <v>26</v>
      </c>
      <c r="E32" t="s">
        <v>361</v>
      </c>
      <c r="F32" t="s">
        <v>49</v>
      </c>
      <c r="G32" t="s">
        <v>50</v>
      </c>
      <c r="H32" t="s">
        <v>48</v>
      </c>
      <c r="I32">
        <v>162</v>
      </c>
      <c r="J32">
        <v>92</v>
      </c>
      <c r="K32">
        <v>70</v>
      </c>
      <c r="L32">
        <v>21</v>
      </c>
      <c r="M32">
        <v>-6.7</v>
      </c>
      <c r="N32">
        <v>60</v>
      </c>
      <c r="O32">
        <v>92</v>
      </c>
      <c r="P32">
        <v>0.2</v>
      </c>
      <c r="Q32">
        <v>0.03</v>
      </c>
      <c r="R32">
        <v>20</v>
      </c>
      <c r="S32">
        <v>-1</v>
      </c>
      <c r="T32">
        <v>18</v>
      </c>
      <c r="U32">
        <v>9</v>
      </c>
      <c r="V32">
        <v>18</v>
      </c>
      <c r="W32">
        <v>0.61</v>
      </c>
      <c r="X32">
        <v>-0.05</v>
      </c>
      <c r="Y32">
        <v>17</v>
      </c>
      <c r="Z32">
        <v>0.23</v>
      </c>
      <c r="AA32" s="10">
        <v>0</v>
      </c>
      <c r="AB32" s="10">
        <v>118</v>
      </c>
      <c r="AC32">
        <v>2.5</v>
      </c>
    </row>
    <row r="33" spans="2:30" x14ac:dyDescent="0.2">
      <c r="I33" s="15">
        <v>0.02</v>
      </c>
      <c r="J33" s="15">
        <v>0.05</v>
      </c>
      <c r="K33" s="15">
        <v>0.12</v>
      </c>
      <c r="L33" s="15">
        <v>0.02</v>
      </c>
      <c r="M33" s="15">
        <v>0.01</v>
      </c>
      <c r="N33" s="15">
        <v>0.68</v>
      </c>
      <c r="O33" s="15">
        <v>0.72</v>
      </c>
      <c r="P33" s="15">
        <v>0.75</v>
      </c>
      <c r="Q33" s="15">
        <v>0.05</v>
      </c>
      <c r="R33" s="15">
        <v>0.89</v>
      </c>
      <c r="S33" s="15">
        <v>0.26</v>
      </c>
      <c r="T33" s="15">
        <v>0.02</v>
      </c>
      <c r="U33" s="15">
        <v>0.08</v>
      </c>
      <c r="V33" s="15">
        <v>0.19</v>
      </c>
      <c r="W33" s="15">
        <v>0.16</v>
      </c>
      <c r="X33" s="15">
        <v>0.09</v>
      </c>
      <c r="Y33" s="15">
        <v>0.57999999999999996</v>
      </c>
      <c r="Z33" s="15">
        <v>0.19</v>
      </c>
      <c r="AA33" s="1">
        <v>0.18</v>
      </c>
      <c r="AB33" s="1">
        <v>0.01</v>
      </c>
      <c r="AC33" s="1">
        <v>0.01</v>
      </c>
    </row>
    <row r="34" spans="2:30" x14ac:dyDescent="0.2">
      <c r="H34" t="s">
        <v>373</v>
      </c>
      <c r="I34" s="1">
        <f>[1]Cows!I26-I33</f>
        <v>0</v>
      </c>
      <c r="J34" s="1">
        <f>[1]Cows!J26-J33</f>
        <v>9.999999999999995E-3</v>
      </c>
      <c r="K34" s="1">
        <f>[1]Cows!K26-K33</f>
        <v>2.0000000000000018E-2</v>
      </c>
      <c r="L34" s="1">
        <f>[1]Cows!L26-L33</f>
        <v>9.9999999999999985E-3</v>
      </c>
      <c r="M34" s="1">
        <f>[1]Cows!M26-M33</f>
        <v>0.01</v>
      </c>
      <c r="N34" s="1">
        <f>[1]Cows!N26-N33</f>
        <v>-3.0000000000000027E-2</v>
      </c>
      <c r="O34" s="1">
        <f>[1]Cows!O26-O33</f>
        <v>-2.0000000000000018E-2</v>
      </c>
      <c r="P34" s="1">
        <f>[1]Cows!P26-P33</f>
        <v>-2.0000000000000018E-2</v>
      </c>
      <c r="Q34" s="1">
        <f>[1]Cows!Q26-Q33</f>
        <v>9.999999999999995E-3</v>
      </c>
      <c r="R34" s="1">
        <f>[1]Cows!R26-R33</f>
        <v>-1.0000000000000009E-2</v>
      </c>
      <c r="S34" s="1">
        <f>[1]Cows!S26-S33</f>
        <v>2.9999999999999971E-2</v>
      </c>
      <c r="T34" s="1">
        <f>[1]Cows!T26-T33</f>
        <v>-0.01</v>
      </c>
      <c r="U34" s="1">
        <f>[1]Cows!U26-U33</f>
        <v>-0.04</v>
      </c>
      <c r="V34" s="1">
        <f>[1]Cows!V26-V33</f>
        <v>0.10999999999999999</v>
      </c>
      <c r="W34" s="1">
        <f>[1]Cows!W26-W33</f>
        <v>-1.0000000000000009E-2</v>
      </c>
      <c r="X34" s="1">
        <f>[1]Cows!X26-X33</f>
        <v>0</v>
      </c>
      <c r="Y34" s="1">
        <f>[1]Cows!Y26-Y33</f>
        <v>5.0000000000000044E-2</v>
      </c>
      <c r="Z34" s="1">
        <f>[1]Cows!Z26-Z33</f>
        <v>1.999999999999999E-2</v>
      </c>
      <c r="AA34" s="1">
        <f>[1]Cows!AA26-AA33</f>
        <v>0.03</v>
      </c>
    </row>
    <row r="35" spans="2:30" x14ac:dyDescent="0.2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30" x14ac:dyDescent="0.2">
      <c r="B36">
        <v>72</v>
      </c>
      <c r="C36">
        <v>4776099</v>
      </c>
      <c r="D36" t="s">
        <v>26</v>
      </c>
      <c r="E36" t="s">
        <v>361</v>
      </c>
      <c r="F36" t="s">
        <v>51</v>
      </c>
      <c r="G36" t="s">
        <v>52</v>
      </c>
      <c r="H36" t="s">
        <v>53</v>
      </c>
      <c r="I36">
        <v>121</v>
      </c>
      <c r="J36">
        <v>83</v>
      </c>
      <c r="K36">
        <v>38</v>
      </c>
      <c r="L36">
        <v>18</v>
      </c>
      <c r="M36">
        <v>-3.9</v>
      </c>
      <c r="N36">
        <v>65</v>
      </c>
      <c r="O36">
        <v>103</v>
      </c>
      <c r="P36">
        <v>0.24</v>
      </c>
      <c r="Q36">
        <v>0.23</v>
      </c>
      <c r="R36">
        <v>25</v>
      </c>
      <c r="S36">
        <v>6</v>
      </c>
      <c r="T36">
        <v>17</v>
      </c>
      <c r="U36">
        <v>9</v>
      </c>
      <c r="V36">
        <v>18</v>
      </c>
      <c r="W36">
        <v>0.54</v>
      </c>
      <c r="X36">
        <v>0.14000000000000001</v>
      </c>
      <c r="Y36">
        <v>-1</v>
      </c>
      <c r="Z36">
        <v>-0.15</v>
      </c>
      <c r="AA36" s="10">
        <v>0.05</v>
      </c>
      <c r="AB36" s="10">
        <v>90.57</v>
      </c>
      <c r="AC36" s="10"/>
      <c r="AD36" s="10">
        <v>104.91</v>
      </c>
    </row>
    <row r="37" spans="2:30" x14ac:dyDescent="0.2">
      <c r="I37" s="15">
        <v>0.25</v>
      </c>
      <c r="J37" s="15">
        <v>0.11</v>
      </c>
      <c r="K37" s="15">
        <v>0.66</v>
      </c>
      <c r="L37" s="15">
        <v>0.1</v>
      </c>
      <c r="M37" s="15">
        <v>0.15</v>
      </c>
      <c r="N37" s="15">
        <v>0.47</v>
      </c>
      <c r="O37" s="15">
        <v>0.47</v>
      </c>
      <c r="P37" s="15">
        <v>0.47</v>
      </c>
      <c r="Q37" s="15">
        <v>0.14000000000000001</v>
      </c>
      <c r="R37" s="15">
        <v>0.55000000000000004</v>
      </c>
      <c r="S37" s="15">
        <v>0.66</v>
      </c>
      <c r="T37" s="15">
        <v>0.03</v>
      </c>
      <c r="U37" s="15">
        <v>0.12</v>
      </c>
      <c r="V37" s="15">
        <v>0.25</v>
      </c>
      <c r="W37" s="15">
        <v>0.25</v>
      </c>
      <c r="X37" s="15">
        <v>0.86</v>
      </c>
      <c r="Y37" s="15">
        <v>0.96</v>
      </c>
      <c r="Z37" s="15">
        <v>0.86</v>
      </c>
      <c r="AA37" s="15">
        <v>0.98</v>
      </c>
      <c r="AB37" s="15">
        <v>0.06</v>
      </c>
      <c r="AD37" s="15">
        <v>0.25</v>
      </c>
    </row>
    <row r="38" spans="2:30" x14ac:dyDescent="0.2">
      <c r="H38" t="s">
        <v>373</v>
      </c>
      <c r="I38" s="1">
        <f>[1]Cows!I29-I37</f>
        <v>-0.06</v>
      </c>
      <c r="J38" s="1">
        <f>[1]Cows!J29-J37</f>
        <v>-0.03</v>
      </c>
      <c r="K38" s="1">
        <f>[1]Cows!K29-K37</f>
        <v>-5.0000000000000044E-2</v>
      </c>
      <c r="L38" s="1">
        <f>[1]Cows!L29-L37</f>
        <v>9.999999999999995E-3</v>
      </c>
      <c r="M38" s="1">
        <f>[1]Cows!M29-M37</f>
        <v>0</v>
      </c>
      <c r="N38" s="1">
        <f>[1]Cows!N29-N37</f>
        <v>-4.9999999999999989E-2</v>
      </c>
      <c r="O38" s="1">
        <f>[1]Cows!O29-O37</f>
        <v>-0.06</v>
      </c>
      <c r="P38" s="1">
        <f>[1]Cows!P29-P37</f>
        <v>-4.9999999999999989E-2</v>
      </c>
      <c r="Q38" s="1">
        <f>[1]Cows!Q29-Q37</f>
        <v>-2.0000000000000018E-2</v>
      </c>
      <c r="R38" s="1">
        <f>[1]Cows!R29-R37</f>
        <v>-0.18000000000000005</v>
      </c>
      <c r="S38" s="1">
        <f>[1]Cows!S29-S37</f>
        <v>2.0000000000000018E-2</v>
      </c>
      <c r="T38" s="1">
        <f>[1]Cows!T29-T37</f>
        <v>0.31000000000000005</v>
      </c>
      <c r="U38" s="1">
        <f>[1]Cows!U29-U37</f>
        <v>0</v>
      </c>
      <c r="V38" s="1">
        <f>[1]Cows!V29-V37</f>
        <v>-0.16999999999999998</v>
      </c>
      <c r="W38" s="1">
        <f>[1]Cows!W29-W37</f>
        <v>2.0000000000000018E-2</v>
      </c>
      <c r="X38" s="1">
        <f>[1]Cows!X29-X37</f>
        <v>6.0000000000000053E-2</v>
      </c>
      <c r="Y38" s="1">
        <f>[1]Cows!Y29-Y37</f>
        <v>-3.9999999999999925E-2</v>
      </c>
      <c r="Z38" s="1">
        <f>[1]Cows!Z29-Z37</f>
        <v>3.0000000000000027E-2</v>
      </c>
      <c r="AA38" s="1">
        <f>[1]Cows!AA29-AA37</f>
        <v>0</v>
      </c>
    </row>
    <row r="39" spans="2:30" x14ac:dyDescent="0.2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30" x14ac:dyDescent="0.2">
      <c r="B40">
        <v>61</v>
      </c>
      <c r="C40">
        <v>4828952</v>
      </c>
      <c r="D40" t="s">
        <v>26</v>
      </c>
      <c r="E40" t="s">
        <v>361</v>
      </c>
      <c r="F40" t="s">
        <v>54</v>
      </c>
      <c r="G40" t="s">
        <v>55</v>
      </c>
      <c r="H40" t="s">
        <v>56</v>
      </c>
      <c r="I40">
        <v>144</v>
      </c>
      <c r="J40">
        <v>97</v>
      </c>
      <c r="K40">
        <v>46</v>
      </c>
      <c r="L40">
        <v>14</v>
      </c>
      <c r="M40">
        <v>-2.4</v>
      </c>
      <c r="N40">
        <v>67</v>
      </c>
      <c r="O40">
        <v>111</v>
      </c>
      <c r="P40">
        <v>0.28000000000000003</v>
      </c>
      <c r="Q40">
        <v>0.84</v>
      </c>
      <c r="R40">
        <v>34</v>
      </c>
      <c r="S40">
        <v>8</v>
      </c>
      <c r="T40">
        <v>13</v>
      </c>
      <c r="U40">
        <v>10</v>
      </c>
      <c r="V40">
        <v>21</v>
      </c>
      <c r="W40">
        <v>0.44</v>
      </c>
      <c r="X40">
        <v>-0.01</v>
      </c>
      <c r="Y40">
        <v>12</v>
      </c>
      <c r="Z40">
        <v>0.34</v>
      </c>
      <c r="AA40" s="10">
        <v>0.03</v>
      </c>
      <c r="AB40" s="10">
        <v>70.37</v>
      </c>
      <c r="AC40" s="10"/>
      <c r="AD40" s="10">
        <v>90.12</v>
      </c>
    </row>
    <row r="41" spans="2:30" x14ac:dyDescent="0.2">
      <c r="I41" s="15">
        <v>7.0000000000000007E-2</v>
      </c>
      <c r="J41" s="15">
        <v>0.03</v>
      </c>
      <c r="K41" s="15">
        <v>0.49</v>
      </c>
      <c r="L41" s="15">
        <v>0.33</v>
      </c>
      <c r="M41" s="15">
        <v>0.37</v>
      </c>
      <c r="N41" s="15">
        <v>0.4</v>
      </c>
      <c r="O41" s="15">
        <v>0.31</v>
      </c>
      <c r="P41" s="15">
        <v>0.23</v>
      </c>
      <c r="Q41" s="15">
        <v>0.72</v>
      </c>
      <c r="R41" s="15">
        <v>0.04</v>
      </c>
      <c r="S41" s="15">
        <v>0.76</v>
      </c>
      <c r="T41" s="15">
        <v>0.26</v>
      </c>
      <c r="U41" s="15">
        <v>0.03</v>
      </c>
      <c r="V41" s="15">
        <v>0.05</v>
      </c>
      <c r="W41" s="15">
        <v>0.43</v>
      </c>
      <c r="X41" s="15">
        <v>0.18</v>
      </c>
      <c r="Y41" s="15">
        <v>0.73</v>
      </c>
      <c r="Z41" s="15">
        <v>0.09</v>
      </c>
      <c r="AA41" s="15">
        <v>0.88</v>
      </c>
      <c r="AB41" s="15">
        <v>0.13</v>
      </c>
      <c r="AD41" s="15">
        <v>0.34</v>
      </c>
    </row>
    <row r="42" spans="2:30" x14ac:dyDescent="0.2">
      <c r="H42" t="s">
        <v>373</v>
      </c>
      <c r="I42" s="1">
        <f>[1]Cows!I32-I41</f>
        <v>0.06</v>
      </c>
      <c r="J42" s="1">
        <f>[1]Cows!J32-J41</f>
        <v>0.03</v>
      </c>
      <c r="K42" s="1">
        <f>[1]Cows!K32-K41</f>
        <v>7.999999999999996E-2</v>
      </c>
      <c r="L42" s="1">
        <f>[1]Cows!L32-L41</f>
        <v>1.0000000000000009E-2</v>
      </c>
      <c r="M42" s="1">
        <f>[1]Cows!M32-M41</f>
        <v>3.0000000000000027E-2</v>
      </c>
      <c r="N42" s="1">
        <f>[1]Cows!N32-N41</f>
        <v>-2.0000000000000018E-2</v>
      </c>
      <c r="O42" s="1">
        <f>[1]Cows!O32-O41</f>
        <v>0</v>
      </c>
      <c r="P42" s="1">
        <f>[1]Cows!P32-P41</f>
        <v>1.999999999999999E-2</v>
      </c>
      <c r="Q42" s="1">
        <f>[1]Cows!Q32-Q41</f>
        <v>-2.0000000000000018E-2</v>
      </c>
      <c r="R42" s="1">
        <f>[1]Cows!R32-R41</f>
        <v>1.0000000000000002E-2</v>
      </c>
      <c r="S42" s="1">
        <f>[1]Cows!S32-S41</f>
        <v>3.0000000000000027E-2</v>
      </c>
      <c r="T42" s="1">
        <f>[1]Cows!T32-T41</f>
        <v>-0.1</v>
      </c>
      <c r="U42" s="1">
        <f>[1]Cows!U32-U41</f>
        <v>0</v>
      </c>
      <c r="V42" s="1">
        <f>[1]Cows!V32-V41</f>
        <v>6.9999999999999993E-2</v>
      </c>
      <c r="W42" s="1">
        <f>[1]Cows!W32-W41</f>
        <v>-1.0000000000000009E-2</v>
      </c>
      <c r="X42" s="1">
        <f>[1]Cows!X32-X41</f>
        <v>0.15000000000000002</v>
      </c>
      <c r="Y42" s="1">
        <f>[1]Cows!Y32-Y41</f>
        <v>5.0000000000000044E-2</v>
      </c>
      <c r="Z42" s="1">
        <f>[1]Cows!Z32-Z41</f>
        <v>0.12</v>
      </c>
      <c r="AA42" s="1">
        <f>[1]Cows!AA32-AA41</f>
        <v>2.0000000000000018E-2</v>
      </c>
    </row>
    <row r="43" spans="2:30" x14ac:dyDescent="0.2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30" x14ac:dyDescent="0.2">
      <c r="B44" s="2" t="s">
        <v>57</v>
      </c>
      <c r="C44">
        <v>4833732</v>
      </c>
      <c r="D44" t="s">
        <v>26</v>
      </c>
      <c r="E44" t="s">
        <v>361</v>
      </c>
      <c r="F44" t="s">
        <v>57</v>
      </c>
      <c r="G44" t="s">
        <v>58</v>
      </c>
      <c r="H44" t="s">
        <v>59</v>
      </c>
      <c r="I44">
        <v>160</v>
      </c>
      <c r="J44">
        <v>92</v>
      </c>
      <c r="K44">
        <v>68</v>
      </c>
      <c r="L44">
        <v>19</v>
      </c>
      <c r="M44">
        <v>-4.7</v>
      </c>
      <c r="N44">
        <v>69</v>
      </c>
      <c r="O44">
        <v>107</v>
      </c>
      <c r="P44">
        <v>0.23</v>
      </c>
      <c r="Q44">
        <v>0.22</v>
      </c>
      <c r="R44">
        <v>22</v>
      </c>
      <c r="S44">
        <v>-2</v>
      </c>
      <c r="T44">
        <v>15</v>
      </c>
      <c r="U44">
        <v>8</v>
      </c>
      <c r="V44">
        <v>19</v>
      </c>
      <c r="W44">
        <v>0.53</v>
      </c>
      <c r="X44">
        <v>0.08</v>
      </c>
      <c r="Y44">
        <v>29</v>
      </c>
      <c r="Z44">
        <v>0.08</v>
      </c>
      <c r="AA44" s="19">
        <v>0.01</v>
      </c>
      <c r="AB44" s="19"/>
      <c r="AC44" s="19"/>
      <c r="AD44" s="19"/>
    </row>
    <row r="45" spans="2:30" x14ac:dyDescent="0.2">
      <c r="I45" s="15">
        <v>0.02</v>
      </c>
      <c r="J45" s="15">
        <v>0.05</v>
      </c>
      <c r="K45" s="15">
        <v>0.14000000000000001</v>
      </c>
      <c r="L45" s="15">
        <v>7.0000000000000007E-2</v>
      </c>
      <c r="M45" s="15">
        <v>0.08</v>
      </c>
      <c r="N45" s="15">
        <v>0.31</v>
      </c>
      <c r="O45" s="15">
        <v>0.4</v>
      </c>
      <c r="P45" s="15">
        <v>0.53</v>
      </c>
      <c r="Q45" s="15">
        <v>0.13</v>
      </c>
      <c r="R45" s="15">
        <v>0.77</v>
      </c>
      <c r="S45" s="15">
        <v>0.23</v>
      </c>
      <c r="T45" s="15">
        <v>0.1</v>
      </c>
      <c r="U45" s="15">
        <v>0.21</v>
      </c>
      <c r="V45" s="15">
        <v>0.14000000000000001</v>
      </c>
      <c r="W45" s="15">
        <v>0.26</v>
      </c>
      <c r="X45" s="15">
        <v>0.63</v>
      </c>
      <c r="Y45" s="15">
        <v>0.2</v>
      </c>
      <c r="Z45" s="15">
        <v>0.44</v>
      </c>
      <c r="AA45" s="19">
        <v>0.41</v>
      </c>
      <c r="AB45" s="19"/>
      <c r="AC45" s="19"/>
      <c r="AD45" s="19"/>
    </row>
    <row r="46" spans="2:30" x14ac:dyDescent="0.2">
      <c r="H46" t="s">
        <v>373</v>
      </c>
      <c r="I46" s="1">
        <f>[1]Cows!I35-I45</f>
        <v>9.9999999999999985E-3</v>
      </c>
      <c r="J46" s="1">
        <f>[1]Cows!J35-J45</f>
        <v>0.03</v>
      </c>
      <c r="K46" s="1">
        <f>[1]Cows!K35-K45</f>
        <v>-2.0000000000000018E-2</v>
      </c>
      <c r="L46" s="1">
        <f>[1]Cows!L35-L45</f>
        <v>9.999999999999995E-3</v>
      </c>
      <c r="M46" s="1">
        <f>[1]Cows!M35-M45</f>
        <v>2.0000000000000004E-2</v>
      </c>
      <c r="N46" s="1">
        <f>[1]Cows!N35-N45</f>
        <v>-3.999999999999998E-2</v>
      </c>
      <c r="O46" s="1">
        <f>[1]Cows!O35-O45</f>
        <v>-4.0000000000000036E-2</v>
      </c>
      <c r="P46" s="1">
        <f>[1]Cows!P35-P45</f>
        <v>-4.0000000000000036E-2</v>
      </c>
      <c r="Q46" s="1">
        <f>[1]Cows!Q35-Q45</f>
        <v>0.03</v>
      </c>
      <c r="R46" s="1">
        <f>[1]Cows!R35-R45</f>
        <v>1.0000000000000009E-2</v>
      </c>
      <c r="S46" s="1">
        <f>[1]Cows!S35-S45</f>
        <v>1.999999999999999E-2</v>
      </c>
      <c r="T46" s="1">
        <f>[1]Cows!T35-T45</f>
        <v>-0.03</v>
      </c>
      <c r="U46" s="1">
        <f>[1]Cows!U35-U45</f>
        <v>-7.9999999999999988E-2</v>
      </c>
      <c r="V46" s="1">
        <f>[1]Cows!V35-V45</f>
        <v>0.15999999999999998</v>
      </c>
      <c r="W46" s="1">
        <f>[1]Cows!W35-W45</f>
        <v>-2.0000000000000018E-2</v>
      </c>
      <c r="X46" s="1">
        <f>[1]Cows!X35-X45</f>
        <v>0</v>
      </c>
      <c r="Y46" s="1">
        <f>[1]Cows!Y35-Y45</f>
        <v>-5.0000000000000017E-2</v>
      </c>
      <c r="Z46" s="1">
        <f>[1]Cows!Z35-Z45</f>
        <v>-4.9999999999999989E-2</v>
      </c>
      <c r="AA46" s="1">
        <f>[1]Cows!AA35-AA45</f>
        <v>4.0000000000000036E-2</v>
      </c>
    </row>
    <row r="47" spans="2:30" x14ac:dyDescent="0.2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30" x14ac:dyDescent="0.2">
      <c r="B48">
        <v>65</v>
      </c>
      <c r="C48">
        <v>4860136</v>
      </c>
      <c r="D48" t="s">
        <v>26</v>
      </c>
      <c r="E48" t="s">
        <v>361</v>
      </c>
      <c r="F48" t="s">
        <v>60</v>
      </c>
      <c r="G48" t="s">
        <v>61</v>
      </c>
      <c r="H48" t="s">
        <v>62</v>
      </c>
      <c r="I48">
        <v>176</v>
      </c>
      <c r="J48">
        <v>116</v>
      </c>
      <c r="K48">
        <v>59</v>
      </c>
      <c r="L48">
        <v>16</v>
      </c>
      <c r="M48">
        <v>-3.8</v>
      </c>
      <c r="N48">
        <v>79</v>
      </c>
      <c r="O48">
        <v>122</v>
      </c>
      <c r="P48">
        <v>0.27</v>
      </c>
      <c r="Q48">
        <v>0.74</v>
      </c>
      <c r="R48">
        <v>33</v>
      </c>
      <c r="S48">
        <v>-4</v>
      </c>
      <c r="T48">
        <v>18</v>
      </c>
      <c r="U48">
        <v>7</v>
      </c>
      <c r="V48">
        <v>21</v>
      </c>
      <c r="W48">
        <v>0.45</v>
      </c>
      <c r="X48">
        <v>0.05</v>
      </c>
      <c r="Y48">
        <v>34</v>
      </c>
      <c r="Z48">
        <v>0.23</v>
      </c>
      <c r="AA48" s="10">
        <v>0.01</v>
      </c>
      <c r="AB48" s="10">
        <v>105</v>
      </c>
      <c r="AC48">
        <v>2.16</v>
      </c>
    </row>
    <row r="49" spans="2:30" x14ac:dyDescent="0.2">
      <c r="I49" s="15">
        <v>0.01</v>
      </c>
      <c r="J49" s="15">
        <v>0.01</v>
      </c>
      <c r="K49" s="15">
        <v>0.25</v>
      </c>
      <c r="L49" s="15">
        <v>0.22</v>
      </c>
      <c r="M49" s="15">
        <v>0.17</v>
      </c>
      <c r="N49" s="15">
        <v>7.0000000000000007E-2</v>
      </c>
      <c r="O49" s="15">
        <v>0.13</v>
      </c>
      <c r="P49" s="15">
        <v>0.27</v>
      </c>
      <c r="Q49" s="15">
        <v>0.62</v>
      </c>
      <c r="R49" s="15">
        <v>0.08</v>
      </c>
      <c r="S49" s="15">
        <v>0.15</v>
      </c>
      <c r="T49" s="15">
        <v>0.02</v>
      </c>
      <c r="U49" s="15">
        <v>0.48</v>
      </c>
      <c r="V49" s="15">
        <v>0.04</v>
      </c>
      <c r="W49" s="15">
        <v>0.41</v>
      </c>
      <c r="X49" s="15">
        <v>0.48</v>
      </c>
      <c r="Y49" s="15">
        <v>0.1</v>
      </c>
      <c r="Z49" s="15">
        <v>0.19</v>
      </c>
      <c r="AA49" s="11">
        <v>0.41</v>
      </c>
      <c r="AB49" s="11">
        <v>2.5000000000000001E-2</v>
      </c>
      <c r="AC49" s="1">
        <v>0.04</v>
      </c>
    </row>
    <row r="50" spans="2:30" x14ac:dyDescent="0.2">
      <c r="H50" t="s">
        <v>373</v>
      </c>
      <c r="I50" s="1">
        <f>[1]Cows!I38-I49</f>
        <v>1.9999999999999997E-2</v>
      </c>
      <c r="J50" s="1">
        <f>[1]Cows!J38-J49</f>
        <v>1.9999999999999997E-2</v>
      </c>
      <c r="K50" s="1">
        <f>[1]Cows!K38-K49</f>
        <v>1.0000000000000009E-2</v>
      </c>
      <c r="L50" s="1">
        <f>[1]Cows!L38-L49</f>
        <v>-0.06</v>
      </c>
      <c r="M50" s="1">
        <f>[1]Cows!M38-M49</f>
        <v>-2.0000000000000018E-2</v>
      </c>
      <c r="N50" s="1">
        <f>[1]Cows!N38-N49</f>
        <v>-1.0000000000000009E-2</v>
      </c>
      <c r="O50" s="1">
        <f>[1]Cows!O38-O49</f>
        <v>-0.03</v>
      </c>
      <c r="P50" s="1">
        <f>[1]Cows!P38-P49</f>
        <v>-4.0000000000000008E-2</v>
      </c>
      <c r="Q50" s="1">
        <f>[1]Cows!Q38-Q49</f>
        <v>6.0000000000000053E-2</v>
      </c>
      <c r="R50" s="1">
        <f>[1]Cows!R38-R49</f>
        <v>-0.04</v>
      </c>
      <c r="S50" s="1">
        <f>[1]Cows!S38-S49</f>
        <v>-9.9999999999999811E-3</v>
      </c>
      <c r="T50" s="1">
        <f>[1]Cows!T38-T49</f>
        <v>0.27999999999999997</v>
      </c>
      <c r="U50" s="1">
        <f>[1]Cows!U38-U49</f>
        <v>-0.06</v>
      </c>
      <c r="V50" s="1">
        <f>[1]Cows!V38-V49</f>
        <v>6.0000000000000005E-2</v>
      </c>
      <c r="W50" s="1">
        <f>[1]Cows!W38-W49</f>
        <v>-9.9999999999999534E-3</v>
      </c>
      <c r="X50" s="1">
        <f>[1]Cows!X38-X49</f>
        <v>-1.0000000000000009E-2</v>
      </c>
      <c r="Y50" s="1">
        <f>[1]Cows!Y38-Y49</f>
        <v>9.999999999999995E-3</v>
      </c>
      <c r="Z50" s="1">
        <f>[1]Cows!Z38-Z49</f>
        <v>1.999999999999999E-2</v>
      </c>
      <c r="AA50" s="1">
        <f>[1]Cows!AA38-AA49</f>
        <v>-9.9999999999999534E-3</v>
      </c>
    </row>
    <row r="51" spans="2:30" x14ac:dyDescent="0.2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30" x14ac:dyDescent="0.2">
      <c r="B52" s="2" t="s">
        <v>63</v>
      </c>
      <c r="C52">
        <v>4953390</v>
      </c>
      <c r="D52" t="s">
        <v>26</v>
      </c>
      <c r="E52" t="s">
        <v>361</v>
      </c>
      <c r="F52" t="s">
        <v>63</v>
      </c>
      <c r="G52" t="s">
        <v>64</v>
      </c>
      <c r="H52" t="s">
        <v>65</v>
      </c>
      <c r="I52">
        <v>146</v>
      </c>
      <c r="J52">
        <v>83</v>
      </c>
      <c r="K52">
        <v>63</v>
      </c>
      <c r="L52">
        <v>15</v>
      </c>
      <c r="M52">
        <v>-2.4</v>
      </c>
      <c r="N52">
        <v>72</v>
      </c>
      <c r="O52">
        <v>113</v>
      </c>
      <c r="P52">
        <v>0.25</v>
      </c>
      <c r="Q52">
        <v>0.21</v>
      </c>
      <c r="R52">
        <v>26</v>
      </c>
      <c r="S52">
        <v>1</v>
      </c>
      <c r="T52">
        <v>19</v>
      </c>
      <c r="U52">
        <v>9</v>
      </c>
      <c r="V52">
        <v>15</v>
      </c>
      <c r="W52">
        <v>0.56999999999999995</v>
      </c>
      <c r="X52">
        <v>0.02</v>
      </c>
      <c r="Y52">
        <v>17</v>
      </c>
      <c r="Z52">
        <v>0.16</v>
      </c>
      <c r="AA52" s="19">
        <v>0.01</v>
      </c>
      <c r="AB52" s="19"/>
      <c r="AC52" s="19"/>
      <c r="AD52" s="19"/>
    </row>
    <row r="53" spans="2:30" x14ac:dyDescent="0.2">
      <c r="I53" s="15">
        <v>0.09</v>
      </c>
      <c r="J53" s="15">
        <v>0.08</v>
      </c>
      <c r="K53" s="15">
        <v>0.28999999999999998</v>
      </c>
      <c r="L53" s="15">
        <v>0.31</v>
      </c>
      <c r="M53" s="15">
        <v>0.39</v>
      </c>
      <c r="N53" s="15">
        <v>0.31</v>
      </c>
      <c r="O53" s="15">
        <v>0.36</v>
      </c>
      <c r="P53" s="15">
        <v>0.45</v>
      </c>
      <c r="Q53" s="15">
        <v>7.0000000000000007E-2</v>
      </c>
      <c r="R53" s="15">
        <v>0.47</v>
      </c>
      <c r="S53" s="15">
        <v>0.34</v>
      </c>
      <c r="T53" s="15">
        <v>0.01</v>
      </c>
      <c r="U53" s="15">
        <v>0.17</v>
      </c>
      <c r="V53" s="15">
        <v>0.48</v>
      </c>
      <c r="W53" s="15">
        <v>0.28000000000000003</v>
      </c>
      <c r="X53" s="15">
        <v>0.33</v>
      </c>
      <c r="Y53" s="15">
        <v>0.72</v>
      </c>
      <c r="Z53" s="15">
        <v>0.42</v>
      </c>
      <c r="AA53" s="19">
        <v>0.55000000000000004</v>
      </c>
      <c r="AB53" s="19"/>
      <c r="AC53" s="19"/>
      <c r="AD53" s="19"/>
    </row>
    <row r="54" spans="2:30" x14ac:dyDescent="0.2">
      <c r="H54" t="s">
        <v>373</v>
      </c>
      <c r="I54" s="1">
        <f>[1]Cows!I41-I53</f>
        <v>2.0000000000000004E-2</v>
      </c>
      <c r="J54" s="1">
        <f>[1]Cows!J41-J53</f>
        <v>9.0000000000000011E-2</v>
      </c>
      <c r="K54" s="1">
        <f>[1]Cows!K41-K53</f>
        <v>-7.9999999999999988E-2</v>
      </c>
      <c r="L54" s="1">
        <f>[1]Cows!L41-L53</f>
        <v>9.9999999999999978E-2</v>
      </c>
      <c r="M54" s="1">
        <f>[1]Cows!M41-M53</f>
        <v>4.9999999999999989E-2</v>
      </c>
      <c r="N54" s="1">
        <f>[1]Cows!N41-N53</f>
        <v>-2.9999999999999971E-2</v>
      </c>
      <c r="O54" s="1">
        <f>[1]Cows!O41-O53</f>
        <v>-3.999999999999998E-2</v>
      </c>
      <c r="P54" s="1">
        <f>[1]Cows!P41-P53</f>
        <v>-0.06</v>
      </c>
      <c r="Q54" s="1">
        <f>[1]Cows!Q41-Q53</f>
        <v>0</v>
      </c>
      <c r="R54" s="1">
        <f>[1]Cows!R41-R53</f>
        <v>-0.12</v>
      </c>
      <c r="S54" s="1">
        <f>[1]Cows!S41-S53</f>
        <v>7.999999999999996E-2</v>
      </c>
      <c r="T54" s="1">
        <f>[1]Cows!T41-T53</f>
        <v>0.12000000000000001</v>
      </c>
      <c r="U54" s="1">
        <f>[1]Cows!U41-U53</f>
        <v>7.9999999999999988E-2</v>
      </c>
      <c r="V54" s="1">
        <f>[1]Cows!V41-V53</f>
        <v>-8.9999999999999969E-2</v>
      </c>
      <c r="W54" s="1">
        <f>[1]Cows!W41-W53</f>
        <v>-2.0000000000000018E-2</v>
      </c>
      <c r="X54" s="1">
        <f>[1]Cows!X41-X53</f>
        <v>1.9999999999999962E-2</v>
      </c>
      <c r="Y54" s="1">
        <f>[1]Cows!Y41-Y53</f>
        <v>-0.10999999999999999</v>
      </c>
      <c r="Z54" s="1">
        <f>[1]Cows!Z41-Z53</f>
        <v>-1.9999999999999962E-2</v>
      </c>
      <c r="AA54" s="1">
        <f>[1]Cows!AA41-AA53</f>
        <v>-5.0000000000000044E-2</v>
      </c>
    </row>
    <row r="55" spans="2:30" x14ac:dyDescent="0.2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30" x14ac:dyDescent="0.2">
      <c r="B56" s="2">
        <v>4032</v>
      </c>
      <c r="C56">
        <v>5025873</v>
      </c>
      <c r="D56" t="s">
        <v>26</v>
      </c>
      <c r="E56" s="16" t="s">
        <v>361</v>
      </c>
      <c r="F56">
        <v>4032</v>
      </c>
      <c r="G56" t="s">
        <v>66</v>
      </c>
      <c r="H56" t="s">
        <v>67</v>
      </c>
      <c r="I56">
        <v>166</v>
      </c>
      <c r="J56">
        <v>99</v>
      </c>
      <c r="K56">
        <v>68</v>
      </c>
      <c r="L56">
        <v>18</v>
      </c>
      <c r="M56">
        <v>-4.7</v>
      </c>
      <c r="N56">
        <v>48</v>
      </c>
      <c r="O56">
        <v>73</v>
      </c>
      <c r="P56">
        <v>0.16</v>
      </c>
      <c r="Q56">
        <v>0.14000000000000001</v>
      </c>
      <c r="R56">
        <v>28</v>
      </c>
      <c r="S56">
        <v>-13</v>
      </c>
      <c r="T56">
        <v>16</v>
      </c>
      <c r="U56">
        <v>8</v>
      </c>
      <c r="V56">
        <v>18</v>
      </c>
      <c r="W56">
        <v>0.94</v>
      </c>
      <c r="X56">
        <v>7.0000000000000007E-2</v>
      </c>
      <c r="Y56">
        <v>3</v>
      </c>
      <c r="Z56">
        <v>-0.06</v>
      </c>
      <c r="AA56" s="19">
        <v>0.03</v>
      </c>
      <c r="AB56" s="19"/>
      <c r="AC56" s="19"/>
      <c r="AD56" s="19"/>
    </row>
    <row r="57" spans="2:30" x14ac:dyDescent="0.2">
      <c r="I57" s="15">
        <v>0.01</v>
      </c>
      <c r="J57" s="15">
        <v>0.03</v>
      </c>
      <c r="K57" s="15">
        <v>0.14000000000000001</v>
      </c>
      <c r="L57" s="15">
        <v>0.1</v>
      </c>
      <c r="M57" s="15">
        <v>0.08</v>
      </c>
      <c r="N57" s="15">
        <v>0.95</v>
      </c>
      <c r="O57" s="15">
        <v>0.95</v>
      </c>
      <c r="P57" s="15">
        <v>0.93</v>
      </c>
      <c r="Q57" s="15">
        <v>0.09</v>
      </c>
      <c r="R57" s="15">
        <v>0.3</v>
      </c>
      <c r="S57" s="15">
        <v>0.03</v>
      </c>
      <c r="T57" s="15">
        <v>0.06</v>
      </c>
      <c r="U57" s="15">
        <v>0.22</v>
      </c>
      <c r="V57" s="15">
        <v>0.19</v>
      </c>
      <c r="W57" s="15">
        <v>0.01</v>
      </c>
      <c r="X57" s="15">
        <v>0.56999999999999995</v>
      </c>
      <c r="Y57" s="15">
        <v>0.92</v>
      </c>
      <c r="Z57" s="15">
        <v>0.73</v>
      </c>
      <c r="AA57" s="19">
        <v>0.83</v>
      </c>
      <c r="AB57" s="19"/>
      <c r="AC57" s="19"/>
      <c r="AD57" s="19"/>
    </row>
    <row r="58" spans="2:30" x14ac:dyDescent="0.2">
      <c r="H58" t="s">
        <v>373</v>
      </c>
      <c r="I58" s="1">
        <f>[1]Cows!I44-I57</f>
        <v>0</v>
      </c>
      <c r="J58" s="1">
        <f>[1]Cows!J44-J57</f>
        <v>-1.9999999999999997E-2</v>
      </c>
      <c r="K58" s="1">
        <f>[1]Cows!K44-K57</f>
        <v>3.999999999999998E-2</v>
      </c>
      <c r="L58" s="1">
        <f>[1]Cows!L44-L57</f>
        <v>0</v>
      </c>
      <c r="M58" s="1">
        <f>[1]Cows!M44-M57</f>
        <v>2.0000000000000004E-2</v>
      </c>
      <c r="N58" s="1">
        <f>[1]Cows!N44-N57</f>
        <v>1.0000000000000009E-2</v>
      </c>
      <c r="O58" s="1">
        <f>[1]Cows!O44-O57</f>
        <v>0</v>
      </c>
      <c r="P58" s="1">
        <f>[1]Cows!P44-P57</f>
        <v>-1.0000000000000009E-2</v>
      </c>
      <c r="Q58" s="1">
        <f>[1]Cows!Q44-Q57</f>
        <v>-3.9999999999999994E-2</v>
      </c>
      <c r="R58" s="1">
        <f>[1]Cows!R44-R57</f>
        <v>-7.9999999999999988E-2</v>
      </c>
      <c r="S58" s="1">
        <f>[1]Cows!S44-S57</f>
        <v>0.03</v>
      </c>
      <c r="T58" s="1">
        <f>[1]Cows!T44-T57</f>
        <v>-4.9999999999999996E-2</v>
      </c>
      <c r="U58" s="1">
        <f>[1]Cows!U44-U57</f>
        <v>0.03</v>
      </c>
      <c r="V58" s="1">
        <f>[1]Cows!V44-V57</f>
        <v>-0.15</v>
      </c>
      <c r="W58" s="1">
        <f>[1]Cows!W44-W57</f>
        <v>0.01</v>
      </c>
      <c r="X58" s="1">
        <f>[1]Cows!X44-X57</f>
        <v>5.0000000000000044E-2</v>
      </c>
      <c r="Y58" s="1">
        <f>[1]Cows!Y44-Y57</f>
        <v>3.9999999999999925E-2</v>
      </c>
      <c r="Z58" s="1">
        <f>[1]Cows!Z44-Z57</f>
        <v>8.9999999999999969E-2</v>
      </c>
      <c r="AA58" s="1">
        <f>[1]Cows!AA44-AA57</f>
        <v>3.0000000000000027E-2</v>
      </c>
    </row>
    <row r="60" spans="2:30" x14ac:dyDescent="0.2">
      <c r="B60" s="2">
        <v>128</v>
      </c>
      <c r="C60" s="14">
        <v>5038645</v>
      </c>
      <c r="D60" t="s">
        <v>26</v>
      </c>
      <c r="E60" t="s">
        <v>361</v>
      </c>
      <c r="F60" t="s">
        <v>309</v>
      </c>
      <c r="G60" t="s">
        <v>310</v>
      </c>
      <c r="H60" t="s">
        <v>362</v>
      </c>
      <c r="I60">
        <v>173</v>
      </c>
      <c r="J60">
        <v>112</v>
      </c>
      <c r="K60">
        <v>61</v>
      </c>
      <c r="L60">
        <v>20</v>
      </c>
      <c r="M60">
        <v>-6.7</v>
      </c>
      <c r="N60">
        <v>60</v>
      </c>
      <c r="O60">
        <v>88</v>
      </c>
      <c r="P60">
        <v>0.17</v>
      </c>
      <c r="Q60">
        <v>0.36</v>
      </c>
      <c r="R60">
        <v>29</v>
      </c>
      <c r="S60">
        <v>1</v>
      </c>
      <c r="T60">
        <v>18</v>
      </c>
      <c r="U60">
        <v>9</v>
      </c>
      <c r="V60">
        <v>22</v>
      </c>
      <c r="W60">
        <v>0.59</v>
      </c>
      <c r="X60">
        <v>-0.04</v>
      </c>
      <c r="Y60">
        <v>20</v>
      </c>
      <c r="Z60">
        <v>0.27</v>
      </c>
      <c r="AA60" s="10">
        <v>0</v>
      </c>
      <c r="AB60" s="13">
        <v>94</v>
      </c>
      <c r="AC60" s="14">
        <v>2.0699999999999998</v>
      </c>
      <c r="AD60" s="14">
        <v>120</v>
      </c>
    </row>
    <row r="61" spans="2:30" x14ac:dyDescent="0.2">
      <c r="I61" s="15">
        <v>0.02</v>
      </c>
      <c r="J61" s="15">
        <v>0.01</v>
      </c>
      <c r="K61" s="15">
        <v>0.32</v>
      </c>
      <c r="L61" s="15">
        <v>0.04</v>
      </c>
      <c r="M61" s="15">
        <v>0.01</v>
      </c>
      <c r="N61" s="15">
        <v>0.75</v>
      </c>
      <c r="O61" s="15">
        <v>0.84</v>
      </c>
      <c r="P61" s="15">
        <v>0.9</v>
      </c>
      <c r="Q61" s="15">
        <v>0.15</v>
      </c>
      <c r="R61" s="15">
        <v>0.21</v>
      </c>
      <c r="S61" s="15">
        <v>0.37</v>
      </c>
      <c r="T61" s="15">
        <v>0.01</v>
      </c>
      <c r="U61" s="15">
        <v>0.17</v>
      </c>
      <c r="V61" s="15">
        <v>0.01</v>
      </c>
      <c r="W61" s="15">
        <v>0.26</v>
      </c>
      <c r="X61" s="15">
        <v>0.08</v>
      </c>
      <c r="Y61" s="15">
        <v>0.62</v>
      </c>
      <c r="Z61" s="15">
        <v>0.25</v>
      </c>
      <c r="AA61" s="11">
        <v>0.24</v>
      </c>
      <c r="AB61" s="11">
        <v>4.9000000000000002E-2</v>
      </c>
      <c r="AC61" s="11">
        <v>6.7000000000000004E-2</v>
      </c>
      <c r="AD61" s="11">
        <v>0.16399999999999998</v>
      </c>
    </row>
    <row r="62" spans="2:30" x14ac:dyDescent="0.2">
      <c r="H62" t="s">
        <v>373</v>
      </c>
      <c r="I62" s="1">
        <f>[1]Cows!I47-I61</f>
        <v>-0.01</v>
      </c>
      <c r="J62" s="1">
        <f>[1]Cows!J47-J61</f>
        <v>0</v>
      </c>
      <c r="K62" s="1">
        <f>[1]Cows!K47-K61</f>
        <v>-3.999999999999998E-2</v>
      </c>
      <c r="L62" s="1">
        <f>[1]Cows!L47-L61</f>
        <v>-0.02</v>
      </c>
      <c r="M62" s="1">
        <f>[1]Cows!M47-M61</f>
        <v>0</v>
      </c>
      <c r="N62" s="1">
        <f>[1]Cows!N47-N61</f>
        <v>-6.0000000000000053E-2</v>
      </c>
      <c r="O62" s="1">
        <f>[1]Cows!O47-O61</f>
        <v>-3.9999999999999925E-2</v>
      </c>
      <c r="P62" s="1">
        <f>[1]Cows!P47-P61</f>
        <v>-4.0000000000000036E-2</v>
      </c>
      <c r="Q62" s="1">
        <f>[1]Cows!Q47-Q61</f>
        <v>1.0000000000000009E-2</v>
      </c>
      <c r="R62" s="1">
        <f>[1]Cows!R47-R61</f>
        <v>-7.9999999999999988E-2</v>
      </c>
      <c r="S62" s="1">
        <f>[1]Cows!S47-S61</f>
        <v>-0.06</v>
      </c>
      <c r="T62" s="1">
        <f>[1]Cows!T47-T61</f>
        <v>0</v>
      </c>
      <c r="U62" s="1">
        <f>[1]Cows!U47-U61</f>
        <v>-0.12000000000000001</v>
      </c>
      <c r="V62" s="1">
        <f>[1]Cows!V47-V61</f>
        <v>1.9999999999999997E-2</v>
      </c>
      <c r="W62" s="1">
        <f>[1]Cows!W47-W61</f>
        <v>0</v>
      </c>
      <c r="X62" s="1">
        <f>[1]Cows!X47-X61</f>
        <v>-0.03</v>
      </c>
      <c r="Y62" s="1">
        <f>[1]Cows!Y47-Y61</f>
        <v>-3.0000000000000027E-2</v>
      </c>
      <c r="Z62" s="1">
        <f>[1]Cows!Z47-Z61</f>
        <v>-0.15</v>
      </c>
      <c r="AA62" s="1">
        <f>[1]Cows!AA47-AA61</f>
        <v>-1.999999999999999E-2</v>
      </c>
      <c r="AD62" s="11"/>
    </row>
    <row r="63" spans="2:30" x14ac:dyDescent="0.2">
      <c r="AD63" s="11"/>
    </row>
    <row r="64" spans="2:30" x14ac:dyDescent="0.2">
      <c r="B64" t="s">
        <v>314</v>
      </c>
      <c r="C64">
        <v>5190611</v>
      </c>
      <c r="D64" t="s">
        <v>26</v>
      </c>
      <c r="E64" t="s">
        <v>361</v>
      </c>
      <c r="F64" t="s">
        <v>314</v>
      </c>
      <c r="G64" t="s">
        <v>349</v>
      </c>
      <c r="H64" t="s">
        <v>350</v>
      </c>
      <c r="I64">
        <v>206</v>
      </c>
      <c r="J64">
        <v>131</v>
      </c>
      <c r="K64">
        <v>75</v>
      </c>
      <c r="L64">
        <v>17</v>
      </c>
      <c r="M64">
        <v>-4.2</v>
      </c>
      <c r="N64">
        <v>68</v>
      </c>
      <c r="O64">
        <v>112</v>
      </c>
      <c r="P64">
        <v>0.27</v>
      </c>
      <c r="Q64">
        <v>0.65</v>
      </c>
      <c r="R64">
        <v>32</v>
      </c>
      <c r="S64">
        <v>2</v>
      </c>
      <c r="T64">
        <v>15</v>
      </c>
      <c r="U64">
        <v>12</v>
      </c>
      <c r="V64">
        <v>24</v>
      </c>
      <c r="W64">
        <v>0.76</v>
      </c>
      <c r="X64">
        <v>-0.01</v>
      </c>
      <c r="Y64">
        <v>17</v>
      </c>
      <c r="Z64">
        <v>0.45</v>
      </c>
      <c r="AA64" s="10">
        <v>0.04</v>
      </c>
      <c r="AB64" s="10">
        <v>63.37</v>
      </c>
      <c r="AC64" s="10"/>
      <c r="AD64" s="10">
        <v>39.49</v>
      </c>
    </row>
    <row r="65" spans="2:30" x14ac:dyDescent="0.2">
      <c r="I65" s="15">
        <v>0.01</v>
      </c>
      <c r="J65" s="15">
        <v>0.01</v>
      </c>
      <c r="K65" s="15">
        <v>0.13</v>
      </c>
      <c r="L65" s="15">
        <v>0.13</v>
      </c>
      <c r="M65" s="15">
        <v>0.13</v>
      </c>
      <c r="N65" s="15">
        <v>0.44</v>
      </c>
      <c r="O65" s="15">
        <v>0.38</v>
      </c>
      <c r="P65" s="15">
        <v>0.34</v>
      </c>
      <c r="Q65" s="15">
        <v>0.46</v>
      </c>
      <c r="R65" s="15">
        <v>0.05</v>
      </c>
      <c r="S65" s="15">
        <v>0.42</v>
      </c>
      <c r="T65" s="15">
        <v>0.11</v>
      </c>
      <c r="U65" s="15">
        <v>0.01</v>
      </c>
      <c r="V65" s="15">
        <v>0.01</v>
      </c>
      <c r="W65" s="15">
        <v>0.1</v>
      </c>
      <c r="X65" s="15">
        <v>0.21</v>
      </c>
      <c r="Y65" s="15">
        <v>0.7</v>
      </c>
      <c r="Z65" s="15">
        <v>0.06</v>
      </c>
      <c r="AA65" s="15">
        <v>0.92</v>
      </c>
      <c r="AB65" s="15">
        <v>0.16</v>
      </c>
      <c r="AD65" s="15">
        <v>0.67</v>
      </c>
    </row>
    <row r="66" spans="2:30" x14ac:dyDescent="0.2">
      <c r="H66" t="s">
        <v>373</v>
      </c>
      <c r="I66" s="1">
        <f>[1]Cows!I50-I65</f>
        <v>4.9999999999999996E-2</v>
      </c>
      <c r="J66" s="1">
        <f>[1]Cows!J50-J65</f>
        <v>0.03</v>
      </c>
      <c r="K66" s="1">
        <f>[1]Cows!K50-K65</f>
        <v>0.21999999999999997</v>
      </c>
      <c r="L66" s="1">
        <f>[1]Cows!L50-L65</f>
        <v>4.9999999999999989E-2</v>
      </c>
      <c r="M66" s="1">
        <f>[1]Cows!M50-M65</f>
        <v>4.0000000000000008E-2</v>
      </c>
      <c r="N66" s="1">
        <f>[1]Cows!N50-N65</f>
        <v>0.16999999999999998</v>
      </c>
      <c r="O66" s="1">
        <f>[1]Cows!O50-O65</f>
        <v>0.15000000000000002</v>
      </c>
      <c r="P66" s="1">
        <f>[1]Cows!P50-P65</f>
        <v>0.10999999999999999</v>
      </c>
      <c r="Q66" s="1">
        <f>[1]Cows!Q50-Q65</f>
        <v>4.9999999999999989E-2</v>
      </c>
      <c r="R66" s="1">
        <f>[1]Cows!R50-R65</f>
        <v>9.999999999999995E-3</v>
      </c>
      <c r="S66" s="1">
        <f>[1]Cows!S50-S65</f>
        <v>0.2</v>
      </c>
      <c r="T66" s="1">
        <f>[1]Cows!T50-T65</f>
        <v>-0.06</v>
      </c>
      <c r="U66" s="1">
        <f>[1]Cows!U50-U65</f>
        <v>0.04</v>
      </c>
      <c r="V66" s="1">
        <f>[1]Cows!V50-V65</f>
        <v>0.08</v>
      </c>
      <c r="W66" s="1">
        <f>[1]Cows!W50-W65</f>
        <v>0.1</v>
      </c>
      <c r="X66" s="1">
        <f>[1]Cows!X50-X65</f>
        <v>0.19000000000000003</v>
      </c>
      <c r="Y66" s="1">
        <f>[1]Cows!Y50-Y65</f>
        <v>0.12</v>
      </c>
      <c r="Z66" s="1">
        <f>[1]Cows!Z50-Z65</f>
        <v>0.22000000000000003</v>
      </c>
      <c r="AA66" s="1">
        <f>[1]Cows!AA50-AA65</f>
        <v>-1.0000000000000009E-2</v>
      </c>
    </row>
    <row r="68" spans="2:30" x14ac:dyDescent="0.2">
      <c r="B68" t="s">
        <v>315</v>
      </c>
      <c r="C68">
        <v>5197779</v>
      </c>
      <c r="D68" t="s">
        <v>26</v>
      </c>
      <c r="E68" t="s">
        <v>361</v>
      </c>
      <c r="F68" t="s">
        <v>315</v>
      </c>
      <c r="G68" t="s">
        <v>351</v>
      </c>
      <c r="H68" t="s">
        <v>352</v>
      </c>
      <c r="I68">
        <v>173</v>
      </c>
      <c r="J68">
        <v>94</v>
      </c>
      <c r="K68">
        <v>79</v>
      </c>
      <c r="L68">
        <v>19</v>
      </c>
      <c r="M68">
        <v>-4</v>
      </c>
      <c r="N68">
        <v>67</v>
      </c>
      <c r="O68">
        <v>105</v>
      </c>
      <c r="P68">
        <v>0.24</v>
      </c>
      <c r="Q68">
        <v>0.37</v>
      </c>
      <c r="R68">
        <v>26</v>
      </c>
      <c r="S68">
        <v>-2</v>
      </c>
      <c r="T68">
        <v>16</v>
      </c>
      <c r="U68">
        <v>8</v>
      </c>
      <c r="V68">
        <v>19</v>
      </c>
      <c r="W68">
        <v>0.7</v>
      </c>
      <c r="X68">
        <v>0.01</v>
      </c>
      <c r="Y68">
        <v>25</v>
      </c>
      <c r="Z68">
        <v>0.33</v>
      </c>
      <c r="AA68" s="10">
        <v>0.02</v>
      </c>
      <c r="AB68" s="10">
        <v>45.97</v>
      </c>
      <c r="AC68" s="10"/>
      <c r="AD68" s="10">
        <v>143.96</v>
      </c>
    </row>
    <row r="69" spans="2:30" x14ac:dyDescent="0.2">
      <c r="I69" s="15">
        <v>0.02</v>
      </c>
      <c r="J69" s="15">
        <v>0.03</v>
      </c>
      <c r="K69" s="15">
        <v>0.1</v>
      </c>
      <c r="L69" s="15">
        <v>0.08</v>
      </c>
      <c r="M69" s="15">
        <v>0.15</v>
      </c>
      <c r="N69" s="15">
        <v>0.5</v>
      </c>
      <c r="O69" s="15">
        <v>0.51</v>
      </c>
      <c r="P69" s="15">
        <v>0.52</v>
      </c>
      <c r="Q69" s="15">
        <v>0.16</v>
      </c>
      <c r="R69" s="15">
        <v>0.45</v>
      </c>
      <c r="S69" s="15">
        <v>0.23</v>
      </c>
      <c r="T69" s="15">
        <v>0.06</v>
      </c>
      <c r="U69" s="15">
        <v>0.21</v>
      </c>
      <c r="V69" s="15">
        <v>0.09</v>
      </c>
      <c r="W69" s="15">
        <v>0.14000000000000001</v>
      </c>
      <c r="X69" s="15">
        <v>0.28000000000000003</v>
      </c>
      <c r="Y69" s="15">
        <v>0.46</v>
      </c>
      <c r="Z69" s="15">
        <v>0.14000000000000001</v>
      </c>
      <c r="AA69" s="15">
        <v>0.65</v>
      </c>
      <c r="AB69" s="15">
        <v>0.26</v>
      </c>
      <c r="AD69" s="15">
        <v>0.09</v>
      </c>
    </row>
    <row r="70" spans="2:30" x14ac:dyDescent="0.2">
      <c r="H70" t="s">
        <v>373</v>
      </c>
      <c r="I70" s="1">
        <f>[1]Cows!I56-I69</f>
        <v>9.9999999999999985E-3</v>
      </c>
      <c r="J70" s="1">
        <f>[1]Cows!J56-J69</f>
        <v>2.0000000000000004E-2</v>
      </c>
      <c r="K70" s="1">
        <f>[1]Cows!K56-K69</f>
        <v>4.9999999999999989E-2</v>
      </c>
      <c r="L70" s="1">
        <f>[1]Cows!L56-L69</f>
        <v>0</v>
      </c>
      <c r="M70" s="1">
        <f>[1]Cows!M56-M69</f>
        <v>-7.9999999999999988E-2</v>
      </c>
      <c r="N70" s="1">
        <f>[1]Cows!N56-N69</f>
        <v>3.0000000000000027E-2</v>
      </c>
      <c r="O70" s="1">
        <f>[1]Cows!O56-O69</f>
        <v>4.0000000000000036E-2</v>
      </c>
      <c r="P70" s="1">
        <f>[1]Cows!P56-P69</f>
        <v>4.9999999999999933E-2</v>
      </c>
      <c r="Q70" s="1">
        <f>[1]Cows!Q56-Q69</f>
        <v>1.999999999999999E-2</v>
      </c>
      <c r="R70" s="1">
        <f>[1]Cows!R56-R69</f>
        <v>1.9999999999999962E-2</v>
      </c>
      <c r="S70" s="1">
        <f>[1]Cows!S56-S69</f>
        <v>0.11999999999999997</v>
      </c>
      <c r="T70" s="1">
        <f>[1]Cows!T56-T69</f>
        <v>-0.03</v>
      </c>
      <c r="U70" s="1">
        <f>[1]Cows!U56-U69</f>
        <v>-0.10999999999999999</v>
      </c>
      <c r="V70" s="1">
        <f>[1]Cows!V56-V69</f>
        <v>7.0000000000000007E-2</v>
      </c>
      <c r="W70" s="1">
        <f>[1]Cows!W56-W69</f>
        <v>9.9999999999999811E-3</v>
      </c>
      <c r="X70" s="1">
        <f>[1]Cows!X56-X69</f>
        <v>0.28000000000000003</v>
      </c>
      <c r="Y70" s="1">
        <f>[1]Cows!Y56-Y69</f>
        <v>3.999999999999998E-2</v>
      </c>
      <c r="Z70" s="1">
        <f>[1]Cows!Z56-Z69</f>
        <v>0.22999999999999998</v>
      </c>
      <c r="AA70" s="1">
        <f>[1]Cows!AA56-AA69</f>
        <v>9.9999999999999978E-2</v>
      </c>
    </row>
    <row r="72" spans="2:30" x14ac:dyDescent="0.2">
      <c r="B72" t="s">
        <v>316</v>
      </c>
      <c r="C72">
        <v>5190609</v>
      </c>
      <c r="D72" t="s">
        <v>26</v>
      </c>
      <c r="E72" t="s">
        <v>361</v>
      </c>
      <c r="F72" t="s">
        <v>316</v>
      </c>
      <c r="G72" t="s">
        <v>348</v>
      </c>
      <c r="H72" t="s">
        <v>363</v>
      </c>
      <c r="I72">
        <v>188</v>
      </c>
      <c r="J72">
        <v>105</v>
      </c>
      <c r="K72">
        <v>82</v>
      </c>
      <c r="L72">
        <v>19</v>
      </c>
      <c r="M72">
        <v>-7.8</v>
      </c>
      <c r="N72">
        <v>51</v>
      </c>
      <c r="O72">
        <v>83</v>
      </c>
      <c r="P72">
        <v>0.21</v>
      </c>
      <c r="Q72">
        <v>0.09</v>
      </c>
      <c r="R72">
        <v>28</v>
      </c>
      <c r="S72">
        <v>-4</v>
      </c>
      <c r="T72">
        <v>16</v>
      </c>
      <c r="U72">
        <v>10</v>
      </c>
      <c r="V72">
        <v>20</v>
      </c>
      <c r="W72">
        <v>0.71</v>
      </c>
      <c r="X72">
        <v>0.06</v>
      </c>
      <c r="Y72">
        <v>21</v>
      </c>
      <c r="Z72">
        <v>0.27</v>
      </c>
      <c r="AA72" s="10">
        <v>0.04</v>
      </c>
      <c r="AB72" s="10">
        <v>69.36</v>
      </c>
    </row>
    <row r="73" spans="2:30" x14ac:dyDescent="0.2">
      <c r="I73" s="15">
        <v>0.01</v>
      </c>
      <c r="J73" s="15">
        <v>0.01</v>
      </c>
      <c r="K73" s="15">
        <v>0.08</v>
      </c>
      <c r="L73" s="15">
        <v>0.08</v>
      </c>
      <c r="M73" s="15">
        <v>0.01</v>
      </c>
      <c r="N73" s="15">
        <v>0.94</v>
      </c>
      <c r="O73" s="15">
        <v>0.89</v>
      </c>
      <c r="P73" s="15">
        <v>0.77</v>
      </c>
      <c r="Q73" s="15">
        <v>0.04</v>
      </c>
      <c r="R73" s="15">
        <v>0.27</v>
      </c>
      <c r="S73" s="15">
        <v>0.2</v>
      </c>
      <c r="T73" s="15">
        <v>0.04</v>
      </c>
      <c r="U73" s="15">
        <v>0.06</v>
      </c>
      <c r="V73" s="15">
        <v>0.04</v>
      </c>
      <c r="W73" s="15">
        <v>0.13</v>
      </c>
      <c r="X73" s="15">
        <v>0.53</v>
      </c>
      <c r="Y73" s="15">
        <v>0.59</v>
      </c>
      <c r="Z73" s="15">
        <v>0.25</v>
      </c>
      <c r="AA73" s="15">
        <v>0.9</v>
      </c>
      <c r="AB73" s="15">
        <v>0.13</v>
      </c>
    </row>
    <row r="74" spans="2:30" x14ac:dyDescent="0.2">
      <c r="H74" t="s">
        <v>373</v>
      </c>
      <c r="I74" s="1">
        <f>[1]Cows!I59-I73</f>
        <v>4.9999999999999996E-2</v>
      </c>
      <c r="J74" s="1">
        <f>[1]Cows!J59-J73</f>
        <v>0.08</v>
      </c>
      <c r="K74" s="1">
        <f>[1]Cows!K59-K73</f>
        <v>0.11</v>
      </c>
      <c r="L74" s="1">
        <f>[1]Cows!L59-L73</f>
        <v>6.9999999999999993E-2</v>
      </c>
      <c r="M74" s="1">
        <f>[1]Cows!M59-M73</f>
        <v>0.04</v>
      </c>
      <c r="N74" s="1">
        <f>[1]Cows!N59-N73</f>
        <v>-0.20999999999999996</v>
      </c>
      <c r="O74" s="1">
        <f>[1]Cows!O59-O73</f>
        <v>-0.20999999999999996</v>
      </c>
      <c r="P74" s="1">
        <f>[1]Cows!P59-P73</f>
        <v>-0.20000000000000007</v>
      </c>
      <c r="Q74" s="1">
        <f>[1]Cows!Q59-Q73</f>
        <v>0.13999999999999999</v>
      </c>
      <c r="R74" s="1">
        <f>[1]Cows!R59-R73</f>
        <v>0</v>
      </c>
      <c r="S74" s="1">
        <f>[1]Cows!S59-S73</f>
        <v>8.9999999999999969E-2</v>
      </c>
      <c r="T74" s="1">
        <f>[1]Cows!T59-T73</f>
        <v>-0.03</v>
      </c>
      <c r="U74" s="1">
        <f>[1]Cows!U59-U73</f>
        <v>0.05</v>
      </c>
      <c r="V74" s="1">
        <f>[1]Cows!V59-V73</f>
        <v>0.38</v>
      </c>
      <c r="W74" s="1">
        <f>[1]Cows!W59-W73</f>
        <v>0.13</v>
      </c>
      <c r="X74" s="1">
        <f>[1]Cows!X59-X73</f>
        <v>-0.22000000000000003</v>
      </c>
      <c r="Y74" s="1">
        <f>[1]Cows!Y59-Y73</f>
        <v>-1.0000000000000009E-2</v>
      </c>
      <c r="Z74" s="1">
        <f>[1]Cows!Z59-Z73</f>
        <v>-1.0000000000000009E-2</v>
      </c>
      <c r="AA74" s="1">
        <f>[1]Cows!AA59-AA73</f>
        <v>-0.21999999999999997</v>
      </c>
    </row>
    <row r="76" spans="2:30" x14ac:dyDescent="0.2">
      <c r="B76" t="s">
        <v>317</v>
      </c>
      <c r="C76">
        <v>5245169</v>
      </c>
      <c r="D76" t="s">
        <v>26</v>
      </c>
      <c r="E76" t="s">
        <v>361</v>
      </c>
      <c r="F76" t="s">
        <v>317</v>
      </c>
      <c r="G76" t="s">
        <v>364</v>
      </c>
      <c r="H76" s="18" t="s">
        <v>365</v>
      </c>
      <c r="I76" s="6">
        <v>165</v>
      </c>
      <c r="J76" s="6">
        <v>98</v>
      </c>
      <c r="K76" s="6">
        <v>67</v>
      </c>
      <c r="L76" s="6">
        <v>19</v>
      </c>
      <c r="M76" s="6">
        <v>-5</v>
      </c>
      <c r="N76" s="6">
        <v>63</v>
      </c>
      <c r="O76" s="6">
        <v>98</v>
      </c>
      <c r="P76" s="6">
        <v>0.22</v>
      </c>
      <c r="Q76" s="6">
        <v>0.24</v>
      </c>
      <c r="R76" s="6">
        <v>28</v>
      </c>
      <c r="S76" s="6">
        <v>-4</v>
      </c>
      <c r="T76" s="6">
        <v>18</v>
      </c>
      <c r="U76" s="6">
        <v>9</v>
      </c>
      <c r="V76" s="6">
        <v>18</v>
      </c>
      <c r="W76" s="6">
        <v>0.65</v>
      </c>
      <c r="X76" s="6">
        <v>0.01</v>
      </c>
      <c r="Y76" s="6">
        <v>16</v>
      </c>
      <c r="Z76" s="6">
        <v>0.25</v>
      </c>
      <c r="AA76" s="20">
        <v>0.02</v>
      </c>
      <c r="AB76" s="20">
        <v>53.88</v>
      </c>
      <c r="AC76" s="10"/>
      <c r="AD76" s="10">
        <v>140.88999999999999</v>
      </c>
    </row>
    <row r="77" spans="2:30" x14ac:dyDescent="0.2">
      <c r="I77" s="15">
        <v>0.03</v>
      </c>
      <c r="J77" s="15">
        <v>0.02</v>
      </c>
      <c r="K77" s="15">
        <v>0.23</v>
      </c>
      <c r="L77" s="15">
        <v>0.06</v>
      </c>
      <c r="M77" s="15">
        <v>7.0000000000000007E-2</v>
      </c>
      <c r="N77" s="15">
        <v>0.65</v>
      </c>
      <c r="O77" s="15">
        <v>0.67</v>
      </c>
      <c r="P77" s="15">
        <v>0.69</v>
      </c>
      <c r="Q77" s="15">
        <v>0.09</v>
      </c>
      <c r="R77" s="15">
        <v>0.34</v>
      </c>
      <c r="S77" s="15">
        <v>0.19</v>
      </c>
      <c r="T77" s="15">
        <v>0.01</v>
      </c>
      <c r="U77" s="15">
        <v>0.09</v>
      </c>
      <c r="V77" s="15">
        <v>0.16</v>
      </c>
      <c r="W77" s="15">
        <v>0.19</v>
      </c>
      <c r="X77" s="15">
        <v>0.26</v>
      </c>
      <c r="Y77" s="15">
        <v>0.74</v>
      </c>
      <c r="Z77" s="15">
        <v>0.28000000000000003</v>
      </c>
      <c r="AA77" s="15">
        <v>0.71</v>
      </c>
      <c r="AB77" s="15">
        <v>0.21</v>
      </c>
      <c r="AD77" s="15">
        <v>0.1</v>
      </c>
    </row>
    <row r="78" spans="2:30" x14ac:dyDescent="0.2">
      <c r="H78" t="s">
        <v>373</v>
      </c>
      <c r="I78" s="1">
        <f>[1]Cows!I62-I77</f>
        <v>-9.9999999999999985E-3</v>
      </c>
      <c r="J78" s="1">
        <f>[1]Cows!J62-J77</f>
        <v>3.0000000000000002E-2</v>
      </c>
      <c r="K78" s="1">
        <f>[1]Cows!K62-K77</f>
        <v>-8.0000000000000016E-2</v>
      </c>
      <c r="L78" s="1">
        <f>[1]Cows!L62-L77</f>
        <v>-4.9999999999999996E-2</v>
      </c>
      <c r="M78" s="1">
        <f>[1]Cows!M62-M77</f>
        <v>-2.0000000000000004E-2</v>
      </c>
      <c r="N78" s="1">
        <f>[1]Cows!N62-N77</f>
        <v>-0.15000000000000002</v>
      </c>
      <c r="O78" s="1">
        <f>[1]Cows!O62-O77</f>
        <v>-0.12</v>
      </c>
      <c r="P78" s="1">
        <f>[1]Cows!P62-P77</f>
        <v>-8.9999999999999969E-2</v>
      </c>
      <c r="Q78" s="1">
        <f>[1]Cows!Q62-Q77</f>
        <v>0.06</v>
      </c>
      <c r="R78" s="1">
        <f>[1]Cows!R62-R77</f>
        <v>9.9999999999999534E-3</v>
      </c>
      <c r="S78" s="1">
        <f>[1]Cows!S62-S77</f>
        <v>0.10999999999999999</v>
      </c>
      <c r="T78" s="1">
        <f>[1]Cows!T62-T77</f>
        <v>0</v>
      </c>
      <c r="U78" s="1">
        <f>[1]Cows!U62-U77</f>
        <v>1.0000000000000009E-2</v>
      </c>
      <c r="V78" s="1">
        <f>[1]Cows!V62-V77</f>
        <v>0.13999999999999999</v>
      </c>
      <c r="W78" s="1">
        <f>[1]Cows!W62-W77</f>
        <v>-0.09</v>
      </c>
      <c r="X78" s="1">
        <f>[1]Cows!X62-X77</f>
        <v>-0.11000000000000001</v>
      </c>
      <c r="Y78" s="1">
        <f>[1]Cows!Y62-Y77</f>
        <v>-8.9999999999999969E-2</v>
      </c>
      <c r="Z78" s="1">
        <f>[1]Cows!Z62-Z77</f>
        <v>-8.0000000000000016E-2</v>
      </c>
      <c r="AA78" s="1">
        <f>[1]Cows!AA62-AA77</f>
        <v>-0.20999999999999996</v>
      </c>
    </row>
    <row r="80" spans="2:30" x14ac:dyDescent="0.2">
      <c r="B80" t="s">
        <v>354</v>
      </c>
      <c r="C80">
        <v>5245173</v>
      </c>
      <c r="D80" t="s">
        <v>366</v>
      </c>
      <c r="E80" t="s">
        <v>361</v>
      </c>
      <c r="F80" t="s">
        <v>354</v>
      </c>
      <c r="G80" t="s">
        <v>367</v>
      </c>
      <c r="H80" s="18" t="s">
        <v>368</v>
      </c>
      <c r="I80" s="6">
        <v>162</v>
      </c>
      <c r="J80" s="6">
        <v>101</v>
      </c>
      <c r="K80" s="6">
        <v>60</v>
      </c>
      <c r="L80" s="6">
        <v>18</v>
      </c>
      <c r="M80" s="6">
        <v>-6.1</v>
      </c>
      <c r="N80" s="6">
        <v>58</v>
      </c>
      <c r="O80" s="6">
        <v>90</v>
      </c>
      <c r="P80" s="6">
        <v>0.2</v>
      </c>
      <c r="Q80" s="6">
        <v>0.21</v>
      </c>
      <c r="R80" s="6">
        <v>27</v>
      </c>
      <c r="S80" s="6">
        <v>-6</v>
      </c>
      <c r="T80" s="6">
        <v>16</v>
      </c>
      <c r="U80" s="6">
        <v>9</v>
      </c>
      <c r="V80" s="6">
        <v>19</v>
      </c>
      <c r="W80" s="6">
        <v>0.64</v>
      </c>
      <c r="X80" s="6">
        <v>0</v>
      </c>
      <c r="Y80" s="6">
        <v>10</v>
      </c>
      <c r="Z80" s="6">
        <v>0.14000000000000001</v>
      </c>
      <c r="AA80">
        <v>0.01</v>
      </c>
    </row>
    <row r="81" spans="2:27" x14ac:dyDescent="0.2">
      <c r="I81" s="15">
        <v>0.03</v>
      </c>
      <c r="J81" s="15">
        <v>0.01</v>
      </c>
      <c r="K81" s="15">
        <v>0.33</v>
      </c>
      <c r="L81" s="15">
        <v>0.08</v>
      </c>
      <c r="M81" s="15">
        <v>0.02</v>
      </c>
      <c r="N81" s="15">
        <v>0.81</v>
      </c>
      <c r="O81" s="15">
        <v>0.82</v>
      </c>
      <c r="P81" s="15">
        <v>0.81</v>
      </c>
      <c r="Q81" s="15">
        <v>7.0000000000000007E-2</v>
      </c>
      <c r="R81" s="15">
        <v>0.35</v>
      </c>
      <c r="S81" s="15">
        <v>0.16</v>
      </c>
      <c r="T81" s="15">
        <v>0.04</v>
      </c>
      <c r="U81" s="15">
        <v>0.12</v>
      </c>
      <c r="V81" s="15">
        <v>7.0000000000000007E-2</v>
      </c>
      <c r="W81" s="15">
        <v>0.2</v>
      </c>
      <c r="X81" s="15">
        <v>0.24</v>
      </c>
      <c r="Y81" s="15">
        <v>0.87</v>
      </c>
      <c r="Z81" s="15">
        <v>0.47</v>
      </c>
      <c r="AA81">
        <v>0.55000000000000004</v>
      </c>
    </row>
    <row r="82" spans="2:27" x14ac:dyDescent="0.2">
      <c r="H82" t="s">
        <v>373</v>
      </c>
      <c r="I82" s="1">
        <f>[1]Cows!I65-I81</f>
        <v>1.0000000000000002E-2</v>
      </c>
      <c r="J82" s="1">
        <f>[1]Cows!J65-J81</f>
        <v>0.04</v>
      </c>
      <c r="K82" s="1">
        <f>[1]Cows!K65-K81</f>
        <v>-8.0000000000000016E-2</v>
      </c>
      <c r="L82" s="1">
        <f>[1]Cows!L65-L81</f>
        <v>-0.06</v>
      </c>
      <c r="M82" s="1">
        <f>[1]Cows!M65-M81</f>
        <v>-0.01</v>
      </c>
      <c r="N82" s="1">
        <f>[1]Cows!N65-N81</f>
        <v>-0.1100000000000001</v>
      </c>
      <c r="O82" s="1">
        <f>[1]Cows!O65-O81</f>
        <v>-6.9999999999999951E-2</v>
      </c>
      <c r="P82" s="1">
        <f>[1]Cows!P65-P81</f>
        <v>-6.0000000000000053E-2</v>
      </c>
      <c r="Q82" s="1">
        <f>[1]Cows!Q65-Q81</f>
        <v>7.9999999999999988E-2</v>
      </c>
      <c r="R82" s="1">
        <f>[1]Cows!R65-R81</f>
        <v>0</v>
      </c>
      <c r="S82" s="1">
        <f>[1]Cows!S65-S81</f>
        <v>4.0000000000000008E-2</v>
      </c>
      <c r="T82" s="1">
        <f>[1]Cows!T65-T81</f>
        <v>-0.02</v>
      </c>
      <c r="U82" s="1">
        <f>[1]Cows!U65-U81</f>
        <v>-1.999999999999999E-2</v>
      </c>
      <c r="V82" s="1">
        <f>[1]Cows!V65-V81</f>
        <v>0.13</v>
      </c>
      <c r="W82" s="1">
        <f>[1]Cows!W65-W81</f>
        <v>-5.0000000000000017E-2</v>
      </c>
      <c r="X82" s="1">
        <f>[1]Cows!X65-X81</f>
        <v>-0.09</v>
      </c>
      <c r="Y82" s="1">
        <f>[1]Cows!Y65-Y81</f>
        <v>-2.0000000000000018E-2</v>
      </c>
      <c r="Z82" s="1">
        <f>[1]Cows!Z65-Z81</f>
        <v>-0.16999999999999998</v>
      </c>
      <c r="AA82" s="1">
        <f>[1]Cows!AA65-AA81</f>
        <v>-5.0000000000000044E-2</v>
      </c>
    </row>
    <row r="84" spans="2:27" x14ac:dyDescent="0.2">
      <c r="B84" t="s">
        <v>318</v>
      </c>
      <c r="C84">
        <v>5245175</v>
      </c>
      <c r="D84" t="s">
        <v>366</v>
      </c>
      <c r="E84" t="s">
        <v>361</v>
      </c>
      <c r="F84" t="s">
        <v>318</v>
      </c>
      <c r="G84" t="s">
        <v>369</v>
      </c>
      <c r="H84" s="18" t="s">
        <v>370</v>
      </c>
      <c r="I84" s="6">
        <v>136</v>
      </c>
      <c r="J84" s="6">
        <v>70</v>
      </c>
      <c r="K84" s="6">
        <v>66</v>
      </c>
      <c r="L84" s="6">
        <v>17</v>
      </c>
      <c r="M84" s="6">
        <v>-4.2</v>
      </c>
      <c r="N84" s="6">
        <v>64</v>
      </c>
      <c r="O84" s="6">
        <v>97</v>
      </c>
      <c r="P84" s="6">
        <v>0.21</v>
      </c>
      <c r="Q84" s="6">
        <v>0.46</v>
      </c>
      <c r="R84" s="6">
        <v>31</v>
      </c>
      <c r="S84" s="6">
        <v>0</v>
      </c>
      <c r="T84" s="6">
        <v>16</v>
      </c>
      <c r="U84" s="6">
        <v>8</v>
      </c>
      <c r="V84" s="6">
        <v>15</v>
      </c>
      <c r="W84" s="6">
        <v>0.71</v>
      </c>
      <c r="X84" s="6">
        <v>0.03</v>
      </c>
      <c r="Y84" s="6">
        <v>18</v>
      </c>
      <c r="Z84" s="6">
        <v>0.24</v>
      </c>
      <c r="AA84">
        <v>0.03</v>
      </c>
    </row>
    <row r="85" spans="2:27" x14ac:dyDescent="0.2">
      <c r="I85" s="15">
        <v>0.16</v>
      </c>
      <c r="J85" s="15">
        <v>0.22</v>
      </c>
      <c r="K85" s="15">
        <v>0.24</v>
      </c>
      <c r="L85" s="15">
        <v>0.15</v>
      </c>
      <c r="M85" s="15">
        <v>0.13</v>
      </c>
      <c r="N85" s="15">
        <v>0.61</v>
      </c>
      <c r="O85" s="15">
        <v>0.67</v>
      </c>
      <c r="P85" s="15">
        <v>0.74</v>
      </c>
      <c r="Q85" s="15">
        <v>0.23</v>
      </c>
      <c r="R85" s="15">
        <v>0.09</v>
      </c>
      <c r="S85" s="15">
        <v>0.33</v>
      </c>
      <c r="T85" s="15">
        <v>0.04</v>
      </c>
      <c r="U85" s="15">
        <v>0.2</v>
      </c>
      <c r="V85" s="15">
        <v>0.53</v>
      </c>
      <c r="W85" s="15">
        <v>0.13</v>
      </c>
      <c r="X85" s="15">
        <v>0.38</v>
      </c>
      <c r="Y85" s="15">
        <v>0.68</v>
      </c>
      <c r="Z85" s="15">
        <v>0.28999999999999998</v>
      </c>
      <c r="AA85">
        <v>0.79</v>
      </c>
    </row>
    <row r="86" spans="2:27" x14ac:dyDescent="0.2">
      <c r="H86" t="s">
        <v>373</v>
      </c>
      <c r="I86" s="1">
        <f>[1]Cows!I68-I85</f>
        <v>-1.0000000000000009E-2</v>
      </c>
      <c r="J86" s="1">
        <f>[1]Cows!J68-J85</f>
        <v>7.9999999999999988E-2</v>
      </c>
      <c r="K86" s="1">
        <f>[1]Cows!K68-K85</f>
        <v>1.0000000000000009E-2</v>
      </c>
      <c r="L86" s="1">
        <f>[1]Cows!L68-L85</f>
        <v>-0.10999999999999999</v>
      </c>
      <c r="M86" s="1">
        <f>[1]Cows!M68-M85</f>
        <v>-0.03</v>
      </c>
      <c r="N86" s="1">
        <f>[1]Cows!N68-N85</f>
        <v>-0.10999999999999999</v>
      </c>
      <c r="O86" s="1">
        <f>[1]Cows!O68-O85</f>
        <v>-7.0000000000000062E-2</v>
      </c>
      <c r="P86" s="1">
        <f>[1]Cows!P68-P85</f>
        <v>-8.9999999999999969E-2</v>
      </c>
      <c r="Q86" s="1">
        <f>[1]Cows!Q68-Q85</f>
        <v>0.17</v>
      </c>
      <c r="R86" s="1">
        <f>[1]Cows!R68-R85</f>
        <v>0.06</v>
      </c>
      <c r="S86" s="1">
        <f>[1]Cows!S68-S85</f>
        <v>0.12</v>
      </c>
      <c r="T86" s="1">
        <f>[1]Cows!T68-T85</f>
        <v>-0.02</v>
      </c>
      <c r="U86" s="1">
        <f>[1]Cows!U68-U85</f>
        <v>0</v>
      </c>
      <c r="V86" s="1">
        <f>[1]Cows!V68-V85</f>
        <v>2.0000000000000018E-2</v>
      </c>
      <c r="W86" s="1">
        <f>[1]Cows!W68-W85</f>
        <v>-0.03</v>
      </c>
      <c r="X86" s="1">
        <f>[1]Cows!X68-X85</f>
        <v>-8.0000000000000016E-2</v>
      </c>
      <c r="Y86" s="1">
        <f>[1]Cows!Y68-Y85</f>
        <v>1.9999999999999907E-2</v>
      </c>
      <c r="Z86" s="1">
        <f>[1]Cows!Z68-Z85</f>
        <v>-3.999999999999998E-2</v>
      </c>
      <c r="AA86" s="1">
        <f>[1]Cows!AA68-AA85</f>
        <v>-9.000000000000008E-2</v>
      </c>
    </row>
    <row r="88" spans="2:27" x14ac:dyDescent="0.2">
      <c r="B88" t="s">
        <v>356</v>
      </c>
      <c r="C88">
        <v>5245179</v>
      </c>
      <c r="D88" t="s">
        <v>366</v>
      </c>
      <c r="E88" t="s">
        <v>361</v>
      </c>
      <c r="F88" t="s">
        <v>356</v>
      </c>
      <c r="G88" t="s">
        <v>371</v>
      </c>
      <c r="H88" s="18" t="s">
        <v>372</v>
      </c>
      <c r="I88" s="6">
        <v>184</v>
      </c>
      <c r="J88" s="6">
        <v>103</v>
      </c>
      <c r="K88" s="6">
        <v>82</v>
      </c>
      <c r="L88" s="6">
        <v>18</v>
      </c>
      <c r="M88" s="6">
        <v>-5</v>
      </c>
      <c r="N88" s="6">
        <v>53</v>
      </c>
      <c r="O88" s="6">
        <v>84</v>
      </c>
      <c r="P88" s="6">
        <v>0.19</v>
      </c>
      <c r="Q88" s="6">
        <v>0.24</v>
      </c>
      <c r="R88" s="6">
        <v>27</v>
      </c>
      <c r="S88" s="6">
        <v>-5</v>
      </c>
      <c r="T88" s="6">
        <v>15</v>
      </c>
      <c r="U88" s="6">
        <v>9</v>
      </c>
      <c r="V88" s="6">
        <v>20</v>
      </c>
      <c r="W88" s="6">
        <v>1.02</v>
      </c>
      <c r="X88" s="6">
        <v>0.06</v>
      </c>
      <c r="Y88" s="6">
        <v>11</v>
      </c>
      <c r="Z88" s="6">
        <v>0</v>
      </c>
      <c r="AA88">
        <v>0.02</v>
      </c>
    </row>
    <row r="89" spans="2:27" x14ac:dyDescent="0.2">
      <c r="I89" s="15">
        <v>0.01</v>
      </c>
      <c r="J89" s="15">
        <v>0.01</v>
      </c>
      <c r="K89" s="15">
        <v>0.08</v>
      </c>
      <c r="L89" s="15">
        <v>0.1</v>
      </c>
      <c r="M89" s="15">
        <v>7.0000000000000007E-2</v>
      </c>
      <c r="N89" s="15">
        <v>0.91</v>
      </c>
      <c r="O89" s="15">
        <v>0.89</v>
      </c>
      <c r="P89" s="15">
        <v>0.84</v>
      </c>
      <c r="Q89" s="15">
        <v>0.09</v>
      </c>
      <c r="R89" s="15">
        <v>0.36</v>
      </c>
      <c r="S89" s="15">
        <v>0.17</v>
      </c>
      <c r="T89" s="15">
        <v>0.08</v>
      </c>
      <c r="U89" s="15">
        <v>0.15</v>
      </c>
      <c r="V89" s="15">
        <v>0.04</v>
      </c>
      <c r="W89" s="15">
        <v>0.01</v>
      </c>
      <c r="X89" s="15">
        <v>0.57999999999999996</v>
      </c>
      <c r="Y89" s="15">
        <v>0.86</v>
      </c>
      <c r="Z89" s="15">
        <v>0.74</v>
      </c>
      <c r="AA89">
        <v>0.69</v>
      </c>
    </row>
    <row r="90" spans="2:27" x14ac:dyDescent="0.2">
      <c r="H90" t="s">
        <v>373</v>
      </c>
    </row>
    <row r="91" spans="2:27" x14ac:dyDescent="0.2">
      <c r="H91" s="18"/>
    </row>
    <row r="92" spans="2:27" x14ac:dyDescent="0.2">
      <c r="B92" t="s">
        <v>375</v>
      </c>
      <c r="F92" t="s">
        <v>375</v>
      </c>
      <c r="H92" s="18">
        <v>46264</v>
      </c>
    </row>
  </sheetData>
  <conditionalFormatting sqref="I5:Z5 I9:Z9 I13:Z13 I17:Z17 I21:Z21 I25:Z25 I29:Z29 I33:Z33 I37:AB37 I41:AB41 I45:Z45 I49:Z49 I53:Z53 I57:Z57 I61:Z61 I65:AB65 I69:AB69 I73:AB73 I77:AB77 I81:Z81 I85:Z85 I89:Z89">
    <cfRule type="cellIs" dxfId="154" priority="111" operator="lessThan">
      <formula>0.16</formula>
    </cfRule>
    <cfRule type="cellIs" dxfId="153" priority="112" stopIfTrue="1" operator="greaterThanOrEqual">
      <formula>0.85</formula>
    </cfRule>
  </conditionalFormatting>
  <conditionalFormatting sqref="I62:Z62">
    <cfRule type="cellIs" dxfId="152" priority="19" operator="greaterThan">
      <formula>0.05</formula>
    </cfRule>
    <cfRule type="cellIs" dxfId="151" priority="21" operator="lessThan">
      <formula>-0.05</formula>
    </cfRule>
    <cfRule type="cellIs" dxfId="150" priority="20" operator="greaterThan">
      <formula>0.03</formula>
    </cfRule>
  </conditionalFormatting>
  <conditionalFormatting sqref="I6:AA6">
    <cfRule type="cellIs" dxfId="149" priority="65" operator="lessThan">
      <formula>-0.05</formula>
    </cfRule>
    <cfRule type="cellIs" dxfId="148" priority="62" operator="greaterThan">
      <formula>0.03</formula>
    </cfRule>
    <cfRule type="cellIs" dxfId="147" priority="61" operator="greaterThan">
      <formula>0.05</formula>
    </cfRule>
  </conditionalFormatting>
  <conditionalFormatting sqref="I10:AA10">
    <cfRule type="cellIs" dxfId="146" priority="60" operator="lessThan">
      <formula>-0.05</formula>
    </cfRule>
    <cfRule type="cellIs" dxfId="145" priority="59" operator="greaterThan">
      <formula>0.03</formula>
    </cfRule>
    <cfRule type="cellIs" dxfId="144" priority="58" operator="greaterThan">
      <formula>0.05</formula>
    </cfRule>
  </conditionalFormatting>
  <conditionalFormatting sqref="I14:AA14">
    <cfRule type="cellIs" dxfId="143" priority="57" operator="lessThan">
      <formula>-0.05</formula>
    </cfRule>
    <cfRule type="cellIs" dxfId="142" priority="56" operator="greaterThan">
      <formula>0.03</formula>
    </cfRule>
    <cfRule type="cellIs" dxfId="141" priority="55" operator="greaterThan">
      <formula>0.05</formula>
    </cfRule>
  </conditionalFormatting>
  <conditionalFormatting sqref="I18:AA18">
    <cfRule type="cellIs" dxfId="140" priority="54" operator="lessThan">
      <formula>-0.05</formula>
    </cfRule>
    <cfRule type="cellIs" dxfId="139" priority="53" operator="greaterThan">
      <formula>0.03</formula>
    </cfRule>
    <cfRule type="cellIs" dxfId="138" priority="52" operator="greaterThan">
      <formula>0.05</formula>
    </cfRule>
  </conditionalFormatting>
  <conditionalFormatting sqref="I22:AA22">
    <cfRule type="cellIs" dxfId="137" priority="51" operator="lessThan">
      <formula>-0.05</formula>
    </cfRule>
    <cfRule type="cellIs" dxfId="136" priority="49" operator="greaterThan">
      <formula>0.05</formula>
    </cfRule>
    <cfRule type="cellIs" dxfId="135" priority="50" operator="greaterThan">
      <formula>0.03</formula>
    </cfRule>
  </conditionalFormatting>
  <conditionalFormatting sqref="I26:AA26">
    <cfRule type="cellIs" dxfId="134" priority="48" operator="lessThan">
      <formula>-0.05</formula>
    </cfRule>
    <cfRule type="cellIs" dxfId="133" priority="47" operator="greaterThan">
      <formula>0.03</formula>
    </cfRule>
    <cfRule type="cellIs" dxfId="132" priority="46" operator="greaterThan">
      <formula>0.05</formula>
    </cfRule>
  </conditionalFormatting>
  <conditionalFormatting sqref="I30:AA30">
    <cfRule type="cellIs" dxfId="131" priority="45" operator="lessThan">
      <formula>-0.05</formula>
    </cfRule>
    <cfRule type="cellIs" dxfId="130" priority="44" operator="greaterThan">
      <formula>0.03</formula>
    </cfRule>
    <cfRule type="cellIs" dxfId="129" priority="43" operator="greaterThan">
      <formula>0.05</formula>
    </cfRule>
  </conditionalFormatting>
  <conditionalFormatting sqref="I34:AA34">
    <cfRule type="cellIs" dxfId="128" priority="42" operator="lessThan">
      <formula>-0.05</formula>
    </cfRule>
    <cfRule type="cellIs" dxfId="127" priority="41" operator="greaterThan">
      <formula>0.03</formula>
    </cfRule>
    <cfRule type="cellIs" dxfId="126" priority="40" operator="greaterThan">
      <formula>0.05</formula>
    </cfRule>
  </conditionalFormatting>
  <conditionalFormatting sqref="I38:AA38">
    <cfRule type="cellIs" dxfId="125" priority="38" operator="greaterThan">
      <formula>0.03</formula>
    </cfRule>
    <cfRule type="cellIs" dxfId="124" priority="37" operator="greaterThan">
      <formula>0.05</formula>
    </cfRule>
    <cfRule type="cellIs" dxfId="123" priority="39" operator="lessThan">
      <formula>-0.05</formula>
    </cfRule>
  </conditionalFormatting>
  <conditionalFormatting sqref="I42:AA42">
    <cfRule type="cellIs" dxfId="122" priority="34" operator="greaterThan">
      <formula>0.05</formula>
    </cfRule>
    <cfRule type="cellIs" dxfId="121" priority="35" operator="greaterThan">
      <formula>0.03</formula>
    </cfRule>
    <cfRule type="cellIs" dxfId="120" priority="36" operator="lessThan">
      <formula>-0.05</formula>
    </cfRule>
  </conditionalFormatting>
  <conditionalFormatting sqref="I46:AA46">
    <cfRule type="cellIs" dxfId="119" priority="31" operator="greaterThan">
      <formula>0.05</formula>
    </cfRule>
    <cfRule type="cellIs" dxfId="118" priority="32" operator="greaterThan">
      <formula>0.03</formula>
    </cfRule>
    <cfRule type="cellIs" dxfId="117" priority="33" operator="lessThan">
      <formula>-0.05</formula>
    </cfRule>
  </conditionalFormatting>
  <conditionalFormatting sqref="I50:AA50">
    <cfRule type="cellIs" dxfId="116" priority="30" operator="lessThan">
      <formula>-0.05</formula>
    </cfRule>
    <cfRule type="cellIs" dxfId="115" priority="29" operator="greaterThan">
      <formula>0.03</formula>
    </cfRule>
    <cfRule type="cellIs" dxfId="114" priority="28" operator="greaterThan">
      <formula>0.05</formula>
    </cfRule>
  </conditionalFormatting>
  <conditionalFormatting sqref="I54:AA54">
    <cfRule type="cellIs" dxfId="113" priority="27" operator="lessThan">
      <formula>-0.05</formula>
    </cfRule>
    <cfRule type="cellIs" dxfId="112" priority="26" operator="greaterThan">
      <formula>0.03</formula>
    </cfRule>
    <cfRule type="cellIs" dxfId="111" priority="25" operator="greaterThan">
      <formula>0.05</formula>
    </cfRule>
  </conditionalFormatting>
  <conditionalFormatting sqref="I58:AA58">
    <cfRule type="cellIs" dxfId="110" priority="24" operator="lessThan">
      <formula>-0.05</formula>
    </cfRule>
    <cfRule type="cellIs" dxfId="109" priority="23" operator="greaterThan">
      <formula>0.03</formula>
    </cfRule>
    <cfRule type="cellIs" dxfId="108" priority="22" operator="greaterThan">
      <formula>0.05</formula>
    </cfRule>
  </conditionalFormatting>
  <conditionalFormatting sqref="I66:AA66">
    <cfRule type="cellIs" dxfId="107" priority="18" operator="lessThan">
      <formula>-0.05</formula>
    </cfRule>
    <cfRule type="cellIs" dxfId="106" priority="17" operator="greaterThan">
      <formula>0.03</formula>
    </cfRule>
    <cfRule type="cellIs" dxfId="105" priority="16" operator="greaterThan">
      <formula>0.05</formula>
    </cfRule>
  </conditionalFormatting>
  <conditionalFormatting sqref="I70:AA70">
    <cfRule type="cellIs" dxfId="104" priority="13" operator="greaterThan">
      <formula>0.05</formula>
    </cfRule>
    <cfRule type="cellIs" dxfId="103" priority="14" operator="greaterThan">
      <formula>0.03</formula>
    </cfRule>
    <cfRule type="cellIs" dxfId="102" priority="15" operator="lessThan">
      <formula>-0.05</formula>
    </cfRule>
  </conditionalFormatting>
  <conditionalFormatting sqref="I74:AA74">
    <cfRule type="cellIs" dxfId="101" priority="12" operator="lessThan">
      <formula>-0.05</formula>
    </cfRule>
    <cfRule type="cellIs" dxfId="100" priority="11" operator="greaterThan">
      <formula>0.03</formula>
    </cfRule>
    <cfRule type="cellIs" dxfId="99" priority="10" operator="greaterThan">
      <formula>0.05</formula>
    </cfRule>
  </conditionalFormatting>
  <conditionalFormatting sqref="I78:AA78">
    <cfRule type="cellIs" dxfId="98" priority="9" operator="lessThan">
      <formula>-0.05</formula>
    </cfRule>
    <cfRule type="cellIs" dxfId="97" priority="8" operator="greaterThan">
      <formula>0.03</formula>
    </cfRule>
    <cfRule type="cellIs" dxfId="96" priority="7" operator="greaterThan">
      <formula>0.05</formula>
    </cfRule>
  </conditionalFormatting>
  <conditionalFormatting sqref="I82:AA82">
    <cfRule type="cellIs" dxfId="95" priority="6" operator="lessThan">
      <formula>-0.05</formula>
    </cfRule>
    <cfRule type="cellIs" dxfId="94" priority="5" operator="greaterThan">
      <formula>0.03</formula>
    </cfRule>
    <cfRule type="cellIs" dxfId="93" priority="4" operator="greaterThan">
      <formula>0.05</formula>
    </cfRule>
  </conditionalFormatting>
  <conditionalFormatting sqref="I86:AA86">
    <cfRule type="cellIs" dxfId="92" priority="1" operator="greaterThan">
      <formula>0.05</formula>
    </cfRule>
    <cfRule type="cellIs" dxfId="91" priority="3" operator="lessThan">
      <formula>-0.05</formula>
    </cfRule>
    <cfRule type="cellIs" dxfId="90" priority="2" operator="greaterThan">
      <formula>0.03</formula>
    </cfRule>
  </conditionalFormatting>
  <conditionalFormatting sqref="AD37">
    <cfRule type="cellIs" dxfId="89" priority="95" operator="lessThan">
      <formula>0.16</formula>
    </cfRule>
    <cfRule type="cellIs" dxfId="88" priority="96" operator="greaterThanOrEqual">
      <formula>0.85</formula>
    </cfRule>
  </conditionalFormatting>
  <conditionalFormatting sqref="AD41">
    <cfRule type="cellIs" dxfId="87" priority="93" operator="lessThan">
      <formula>0.16</formula>
    </cfRule>
    <cfRule type="cellIs" dxfId="86" priority="94" operator="greaterThanOrEqual">
      <formula>0.85</formula>
    </cfRule>
  </conditionalFormatting>
  <conditionalFormatting sqref="AD65">
    <cfRule type="cellIs" dxfId="85" priority="77" operator="lessThan">
      <formula>0.16</formula>
    </cfRule>
    <cfRule type="cellIs" dxfId="84" priority="78" operator="greaterThanOrEqual">
      <formula>0.85</formula>
    </cfRule>
  </conditionalFormatting>
  <conditionalFormatting sqref="AD69">
    <cfRule type="cellIs" dxfId="83" priority="75" operator="lessThan">
      <formula>0.16</formula>
    </cfRule>
    <cfRule type="cellIs" dxfId="82" priority="76" operator="greaterThanOrEqual">
      <formula>0.85</formula>
    </cfRule>
  </conditionalFormatting>
  <conditionalFormatting sqref="AD77">
    <cfRule type="cellIs" dxfId="81" priority="74" operator="greaterThanOrEqual">
      <formula>0.85</formula>
    </cfRule>
    <cfRule type="cellIs" dxfId="80" priority="73" operator="lessThan">
      <formula>0.16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8B85-D440-4A44-87A2-C128539EC439}">
  <dimension ref="B2:AF29"/>
  <sheetViews>
    <sheetView workbookViewId="0">
      <pane ySplit="1640" topLeftCell="A8" activePane="bottomLeft"/>
      <selection activeCell="E2" sqref="E2"/>
      <selection pane="bottomLeft" activeCell="H29" sqref="H29"/>
    </sheetView>
  </sheetViews>
  <sheetFormatPr baseColWidth="10" defaultRowHeight="15" x14ac:dyDescent="0.2"/>
  <cols>
    <col min="10" max="20" width="10.83203125" customWidth="1"/>
  </cols>
  <sheetData>
    <row r="2" spans="2:32" x14ac:dyDescent="0.2">
      <c r="C2" t="s">
        <v>80</v>
      </c>
      <c r="E2" t="s">
        <v>360</v>
      </c>
    </row>
    <row r="4" spans="2:32" x14ac:dyDescent="0.2">
      <c r="B4" t="s">
        <v>68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  <c r="W4" t="s">
        <v>20</v>
      </c>
      <c r="X4" t="s">
        <v>21</v>
      </c>
      <c r="Y4" t="s">
        <v>22</v>
      </c>
      <c r="Z4" t="s">
        <v>23</v>
      </c>
      <c r="AA4" t="s">
        <v>24</v>
      </c>
      <c r="AB4" t="s">
        <v>25</v>
      </c>
      <c r="AC4" t="s">
        <v>83</v>
      </c>
      <c r="AD4" t="s">
        <v>84</v>
      </c>
      <c r="AE4" t="s">
        <v>338</v>
      </c>
      <c r="AF4" t="s">
        <v>339</v>
      </c>
    </row>
    <row r="6" spans="2:32" x14ac:dyDescent="0.2">
      <c r="B6" t="s">
        <v>81</v>
      </c>
      <c r="C6">
        <v>4611889</v>
      </c>
      <c r="D6" t="s">
        <v>26</v>
      </c>
      <c r="E6" t="s">
        <v>70</v>
      </c>
      <c r="F6" t="s">
        <v>71</v>
      </c>
      <c r="G6" t="s">
        <v>72</v>
      </c>
      <c r="H6" t="s">
        <v>73</v>
      </c>
      <c r="I6" t="s">
        <v>30</v>
      </c>
      <c r="J6">
        <v>170</v>
      </c>
      <c r="K6">
        <v>95</v>
      </c>
      <c r="L6">
        <v>74</v>
      </c>
      <c r="M6">
        <v>19</v>
      </c>
      <c r="N6">
        <v>-5.4</v>
      </c>
      <c r="O6">
        <v>60</v>
      </c>
      <c r="P6">
        <v>97</v>
      </c>
      <c r="Q6">
        <v>0.23</v>
      </c>
      <c r="R6">
        <v>0.35</v>
      </c>
      <c r="S6">
        <v>31</v>
      </c>
      <c r="T6">
        <v>-3</v>
      </c>
      <c r="U6">
        <v>16</v>
      </c>
      <c r="V6">
        <v>10</v>
      </c>
      <c r="W6">
        <v>18</v>
      </c>
      <c r="X6">
        <v>0.77</v>
      </c>
      <c r="Y6">
        <v>0.02</v>
      </c>
      <c r="Z6">
        <v>14</v>
      </c>
      <c r="AA6">
        <v>0.32</v>
      </c>
      <c r="AB6">
        <v>0.04</v>
      </c>
      <c r="AC6" s="10">
        <v>19439</v>
      </c>
      <c r="AD6" s="10">
        <v>79</v>
      </c>
      <c r="AE6">
        <v>1.86</v>
      </c>
    </row>
    <row r="7" spans="2:32" x14ac:dyDescent="0.2">
      <c r="J7" s="1">
        <v>0.04</v>
      </c>
      <c r="K7" s="1">
        <v>0.04</v>
      </c>
      <c r="L7" s="1">
        <v>0.19</v>
      </c>
      <c r="M7" s="1">
        <v>0.09</v>
      </c>
      <c r="N7" s="1">
        <v>0.05</v>
      </c>
      <c r="O7" s="1">
        <v>0.75</v>
      </c>
      <c r="P7" s="1">
        <v>0.7</v>
      </c>
      <c r="Q7" s="1">
        <v>0.62</v>
      </c>
      <c r="R7" s="1">
        <v>0.19</v>
      </c>
      <c r="S7" s="1">
        <v>0.17</v>
      </c>
      <c r="T7" s="1">
        <v>0.17</v>
      </c>
      <c r="U7" s="1">
        <v>7.0000000000000007E-2</v>
      </c>
      <c r="V7" s="1">
        <v>0.08</v>
      </c>
      <c r="W7" s="1">
        <v>0.18</v>
      </c>
      <c r="X7" s="1">
        <v>0.11</v>
      </c>
      <c r="Y7" s="1">
        <v>0.32</v>
      </c>
      <c r="Z7" s="1">
        <v>0.76</v>
      </c>
      <c r="AA7" s="1">
        <v>0.2</v>
      </c>
      <c r="AB7" s="1">
        <v>0.88</v>
      </c>
      <c r="AC7" s="15">
        <v>0.03</v>
      </c>
      <c r="AD7" s="15">
        <v>7.0000000000000007E-2</v>
      </c>
      <c r="AE7" s="15">
        <v>0.09</v>
      </c>
    </row>
    <row r="8" spans="2:32" x14ac:dyDescent="0.2">
      <c r="I8" t="s">
        <v>373</v>
      </c>
      <c r="J8" s="1">
        <f>[1]Bulls!J7-J7</f>
        <v>1.0000000000000002E-2</v>
      </c>
      <c r="K8" s="1">
        <f>[1]Bulls!K7-K7</f>
        <v>1.9999999999999997E-2</v>
      </c>
      <c r="L8" s="1">
        <f>[1]Bulls!L7-L7</f>
        <v>0</v>
      </c>
      <c r="M8" s="1">
        <f>[1]Bulls!M7-M7</f>
        <v>0</v>
      </c>
      <c r="N8" s="1">
        <f>[1]Bulls!N7-N7</f>
        <v>9.999999999999995E-3</v>
      </c>
      <c r="O8" s="1">
        <f>[1]Bulls!O7-O7</f>
        <v>-1.0000000000000009E-2</v>
      </c>
      <c r="P8" s="1">
        <f>[1]Bulls!P7-P7</f>
        <v>0</v>
      </c>
      <c r="Q8" s="1">
        <f>[1]Bulls!Q7-Q7</f>
        <v>0</v>
      </c>
      <c r="R8" s="1">
        <f>[1]Bulls!R7-R7</f>
        <v>0.15000000000000002</v>
      </c>
      <c r="S8" s="1">
        <f>[1]Bulls!S7-S7</f>
        <v>9.9999999999999811E-3</v>
      </c>
      <c r="T8" s="1">
        <f>[1]Bulls!T7-T7</f>
        <v>0.27</v>
      </c>
      <c r="U8" s="1">
        <f>[1]Bulls!U7-U7</f>
        <v>-2.0000000000000004E-2</v>
      </c>
      <c r="V8" s="1">
        <f>[1]Bulls!V7-V7</f>
        <v>-9.999999999999995E-3</v>
      </c>
      <c r="W8" s="1">
        <f>[1]Bulls!W7-W7</f>
        <v>-0.03</v>
      </c>
      <c r="X8" s="1">
        <f>[1]Bulls!X7-X7</f>
        <v>-2.0000000000000004E-2</v>
      </c>
      <c r="Y8" s="1">
        <f>[1]Bulls!Y7-Y7</f>
        <v>0.12</v>
      </c>
      <c r="Z8" s="1">
        <f>[1]Bulls!Z7-Z7</f>
        <v>-5.0000000000000044E-2</v>
      </c>
      <c r="AA8" s="1">
        <f>[1]Bulls!AA7-AA7</f>
        <v>0.06</v>
      </c>
      <c r="AB8" s="1">
        <f>[1]Bulls!AB7-AB7</f>
        <v>0</v>
      </c>
    </row>
    <row r="10" spans="2:32" x14ac:dyDescent="0.2">
      <c r="B10" t="s">
        <v>325</v>
      </c>
      <c r="C10">
        <v>4944456</v>
      </c>
      <c r="D10" t="s">
        <v>26</v>
      </c>
      <c r="E10" t="s">
        <v>70</v>
      </c>
      <c r="F10" t="s">
        <v>326</v>
      </c>
      <c r="G10" t="s">
        <v>327</v>
      </c>
      <c r="H10" t="s">
        <v>328</v>
      </c>
      <c r="I10" t="s">
        <v>30</v>
      </c>
      <c r="J10">
        <v>170</v>
      </c>
      <c r="K10">
        <v>78</v>
      </c>
      <c r="L10">
        <v>91</v>
      </c>
      <c r="M10">
        <v>13</v>
      </c>
      <c r="N10">
        <v>-4.4000000000000004</v>
      </c>
      <c r="O10">
        <v>79</v>
      </c>
      <c r="P10">
        <v>127</v>
      </c>
      <c r="Q10">
        <v>0.3</v>
      </c>
      <c r="R10">
        <v>0.85</v>
      </c>
      <c r="S10">
        <v>26</v>
      </c>
      <c r="T10">
        <v>17</v>
      </c>
      <c r="U10">
        <v>16</v>
      </c>
      <c r="V10">
        <v>6</v>
      </c>
      <c r="W10">
        <v>20</v>
      </c>
      <c r="X10">
        <v>0.72</v>
      </c>
      <c r="Y10">
        <v>0.03</v>
      </c>
      <c r="Z10">
        <v>43</v>
      </c>
      <c r="AA10">
        <v>0.34</v>
      </c>
      <c r="AB10">
        <v>0</v>
      </c>
      <c r="AC10" s="10">
        <v>13853</v>
      </c>
      <c r="AD10" s="10">
        <v>55</v>
      </c>
      <c r="AE10">
        <v>1.46</v>
      </c>
      <c r="AF10" s="10">
        <v>116</v>
      </c>
    </row>
    <row r="11" spans="2:32" x14ac:dyDescent="0.2">
      <c r="J11" s="1">
        <v>0.02</v>
      </c>
      <c r="K11" s="1">
        <v>0.12</v>
      </c>
      <c r="L11" s="1">
        <v>0.03</v>
      </c>
      <c r="M11" s="1">
        <v>0.52</v>
      </c>
      <c r="N11" s="1">
        <v>0.11</v>
      </c>
      <c r="O11" s="1">
        <v>0.14000000000000001</v>
      </c>
      <c r="P11" s="1">
        <v>0.15</v>
      </c>
      <c r="Q11" s="1">
        <v>0.19</v>
      </c>
      <c r="R11" s="1">
        <v>0.67</v>
      </c>
      <c r="S11" s="1">
        <v>0.53</v>
      </c>
      <c r="T11" s="1">
        <v>0.96</v>
      </c>
      <c r="U11" s="1">
        <v>0.05</v>
      </c>
      <c r="V11" s="1">
        <v>0.65</v>
      </c>
      <c r="W11" s="1">
        <v>0.05</v>
      </c>
      <c r="X11" s="1">
        <v>0.13</v>
      </c>
      <c r="Y11" s="1">
        <v>0.36</v>
      </c>
      <c r="Z11" s="1">
        <v>0.05</v>
      </c>
      <c r="AA11" s="1">
        <v>0.13</v>
      </c>
      <c r="AB11" s="1">
        <v>0.23</v>
      </c>
      <c r="AC11" s="15">
        <v>0.15</v>
      </c>
      <c r="AD11" s="15">
        <v>0.02</v>
      </c>
      <c r="AE11" s="15">
        <v>0.38</v>
      </c>
      <c r="AF11" s="15">
        <v>0.18</v>
      </c>
    </row>
    <row r="12" spans="2:32" x14ac:dyDescent="0.2">
      <c r="I12" t="s">
        <v>373</v>
      </c>
      <c r="J12" s="1">
        <f>[1]Bulls!J10-J11</f>
        <v>0</v>
      </c>
      <c r="K12" s="1">
        <f>[1]Bulls!K10-K11</f>
        <v>2.0000000000000018E-2</v>
      </c>
      <c r="L12" s="1">
        <f>[1]Bulls!L10-L11</f>
        <v>0</v>
      </c>
      <c r="M12" s="1">
        <f>[1]Bulls!M10-M11</f>
        <v>-2.0000000000000018E-2</v>
      </c>
      <c r="N12" s="1">
        <f>[1]Bulls!N10-N11</f>
        <v>0</v>
      </c>
      <c r="O12" s="1">
        <f>[1]Bulls!O10-O11</f>
        <v>-4.0000000000000008E-2</v>
      </c>
      <c r="P12" s="1">
        <f>[1]Bulls!P10-P11</f>
        <v>-1.999999999999999E-2</v>
      </c>
      <c r="Q12" s="1">
        <f>[1]Bulls!Q10-Q11</f>
        <v>1.0000000000000009E-2</v>
      </c>
      <c r="R12" s="1">
        <f>[1]Bulls!R10-R11</f>
        <v>0</v>
      </c>
      <c r="S12" s="1">
        <f>[1]Bulls!S10-S11</f>
        <v>-4.0000000000000036E-2</v>
      </c>
      <c r="T12" s="1">
        <f>[1]Bulls!T10-T11</f>
        <v>1.0000000000000009E-2</v>
      </c>
      <c r="U12" s="1">
        <f>[1]Bulls!U10-U11</f>
        <v>0.18</v>
      </c>
      <c r="V12" s="1">
        <f>[1]Bulls!V10-V11</f>
        <v>3.9999999999999925E-2</v>
      </c>
      <c r="W12" s="1">
        <f>[1]Bulls!W10-W11</f>
        <v>-2.0000000000000004E-2</v>
      </c>
      <c r="X12" s="1">
        <f>[1]Bulls!X10-X11</f>
        <v>-0.03</v>
      </c>
      <c r="Y12" s="1">
        <f>[1]Bulls!Y10-Y11</f>
        <v>1.0000000000000009E-2</v>
      </c>
      <c r="Z12" s="1">
        <f>[1]Bulls!Z10-Z11</f>
        <v>0</v>
      </c>
      <c r="AA12" s="1">
        <f>[1]Bulls!AA10-AA11</f>
        <v>4.0000000000000008E-2</v>
      </c>
      <c r="AB12" s="1">
        <f>[1]Bulls!AB10-AB11</f>
        <v>-4.0000000000000008E-2</v>
      </c>
    </row>
    <row r="14" spans="2:32" x14ac:dyDescent="0.2">
      <c r="B14" t="s">
        <v>74</v>
      </c>
      <c r="C14">
        <v>5084935</v>
      </c>
      <c r="D14" t="s">
        <v>26</v>
      </c>
      <c r="E14" t="s">
        <v>70</v>
      </c>
      <c r="F14" t="s">
        <v>74</v>
      </c>
      <c r="G14" t="s">
        <v>75</v>
      </c>
      <c r="H14" t="s">
        <v>76</v>
      </c>
      <c r="I14" t="s">
        <v>30</v>
      </c>
      <c r="J14">
        <v>110</v>
      </c>
      <c r="K14">
        <v>63</v>
      </c>
      <c r="L14">
        <v>47</v>
      </c>
      <c r="M14">
        <v>18</v>
      </c>
      <c r="N14">
        <v>-3.5</v>
      </c>
      <c r="O14">
        <v>78</v>
      </c>
      <c r="P14">
        <v>115</v>
      </c>
      <c r="Q14">
        <v>0.23</v>
      </c>
      <c r="R14">
        <v>0.59</v>
      </c>
      <c r="S14">
        <v>24</v>
      </c>
      <c r="T14">
        <v>1</v>
      </c>
      <c r="U14">
        <v>18</v>
      </c>
      <c r="V14">
        <v>8</v>
      </c>
      <c r="W14">
        <v>13</v>
      </c>
      <c r="X14">
        <v>0.46</v>
      </c>
      <c r="Y14">
        <v>-0.03</v>
      </c>
      <c r="Z14">
        <v>21</v>
      </c>
      <c r="AA14">
        <v>0.32</v>
      </c>
      <c r="AB14">
        <v>0.01</v>
      </c>
      <c r="AC14" s="10">
        <v>12015</v>
      </c>
      <c r="AD14" s="10">
        <v>64.2</v>
      </c>
      <c r="AE14" s="10"/>
      <c r="AF14" s="10">
        <v>75.48</v>
      </c>
    </row>
    <row r="15" spans="2:32" x14ac:dyDescent="0.2">
      <c r="J15" s="1">
        <v>0.46</v>
      </c>
      <c r="K15" s="1">
        <v>0.33</v>
      </c>
      <c r="L15" s="1">
        <v>0.64</v>
      </c>
      <c r="M15" s="1">
        <v>0.08</v>
      </c>
      <c r="N15" s="1">
        <v>0.22</v>
      </c>
      <c r="O15" s="1">
        <v>0.16</v>
      </c>
      <c r="P15" s="1">
        <v>0.33</v>
      </c>
      <c r="Q15" s="1">
        <v>0.6</v>
      </c>
      <c r="R15" s="1">
        <v>0.35</v>
      </c>
      <c r="S15" s="1">
        <v>0.75</v>
      </c>
      <c r="T15" s="1">
        <v>0.37</v>
      </c>
      <c r="U15" s="1">
        <v>0.01</v>
      </c>
      <c r="V15" s="1">
        <v>0.32</v>
      </c>
      <c r="W15" s="1">
        <v>0.72</v>
      </c>
      <c r="X15" s="1">
        <v>0.47</v>
      </c>
      <c r="Y15" s="1">
        <v>0.16</v>
      </c>
      <c r="Z15" s="1">
        <v>0.59</v>
      </c>
      <c r="AA15" s="1">
        <v>0.15</v>
      </c>
      <c r="AB15" s="1">
        <v>0.42</v>
      </c>
      <c r="AC15" s="15">
        <v>0.23</v>
      </c>
      <c r="AD15" s="15">
        <v>0.16</v>
      </c>
      <c r="AF15" s="15">
        <v>0.43</v>
      </c>
    </row>
    <row r="16" spans="2:32" x14ac:dyDescent="0.2">
      <c r="I16" t="s">
        <v>373</v>
      </c>
      <c r="J16" s="1">
        <f>[1]Bulls!J17-J15</f>
        <v>0.2</v>
      </c>
      <c r="K16" s="1">
        <f>[1]Bulls!K17-K15</f>
        <v>0.23999999999999994</v>
      </c>
      <c r="L16" s="1">
        <f>[1]Bulls!L17-L15</f>
        <v>3.0000000000000027E-2</v>
      </c>
      <c r="M16" s="1">
        <f>[1]Bulls!M17-M15</f>
        <v>2.0000000000000004E-2</v>
      </c>
      <c r="N16" s="1">
        <f>[1]Bulls!N17-N15</f>
        <v>4.0000000000000008E-2</v>
      </c>
      <c r="O16" s="1">
        <f>[1]Bulls!O17-O15</f>
        <v>-1.999999999999999E-2</v>
      </c>
      <c r="P16" s="1">
        <f>[1]Bulls!P17-P15</f>
        <v>-1.0000000000000009E-2</v>
      </c>
      <c r="Q16" s="1">
        <f>[1]Bulls!Q17-Q15</f>
        <v>2.0000000000000018E-2</v>
      </c>
      <c r="R16" s="1">
        <f>[1]Bulls!R17-R15</f>
        <v>-1.9999999999999962E-2</v>
      </c>
      <c r="S16" s="1">
        <f>[1]Bulls!S17-S15</f>
        <v>-1.0000000000000009E-2</v>
      </c>
      <c r="T16" s="1">
        <f>[1]Bulls!T17-T15</f>
        <v>2.0000000000000018E-2</v>
      </c>
      <c r="U16" s="1">
        <f>[1]Bulls!U17-U15</f>
        <v>4.9999999999999996E-2</v>
      </c>
      <c r="V16" s="1">
        <f>[1]Bulls!V17-V15</f>
        <v>-4.9999999999999989E-2</v>
      </c>
      <c r="W16" s="1">
        <f>[1]Bulls!W17-W15</f>
        <v>0.12</v>
      </c>
      <c r="X16" s="1">
        <f>[1]Bulls!X17-X15</f>
        <v>4.0000000000000036E-2</v>
      </c>
      <c r="Y16" s="1">
        <f>[1]Bulls!Y17-Y15</f>
        <v>-1.999999999999999E-2</v>
      </c>
      <c r="Z16" s="1">
        <f>[1]Bulls!Z17-Z15</f>
        <v>-2.0000000000000018E-2</v>
      </c>
      <c r="AA16" s="1">
        <f>[1]Bulls!AA17-AA15</f>
        <v>-4.9999999999999989E-2</v>
      </c>
      <c r="AB16" s="1">
        <f>[1]Bulls!AB17-AB15</f>
        <v>8.0000000000000016E-2</v>
      </c>
      <c r="AC16" s="1">
        <f>[1]Bulls!AC17-AC15</f>
        <v>0</v>
      </c>
    </row>
    <row r="18" spans="2:32" x14ac:dyDescent="0.2">
      <c r="B18" t="s">
        <v>82</v>
      </c>
      <c r="C18">
        <v>5141073</v>
      </c>
      <c r="D18" t="s">
        <v>26</v>
      </c>
      <c r="E18" t="s">
        <v>70</v>
      </c>
      <c r="F18" t="s">
        <v>77</v>
      </c>
      <c r="G18" t="s">
        <v>78</v>
      </c>
      <c r="H18" t="s">
        <v>79</v>
      </c>
      <c r="I18" t="s">
        <v>30</v>
      </c>
      <c r="J18">
        <v>158</v>
      </c>
      <c r="K18">
        <v>90</v>
      </c>
      <c r="L18">
        <v>68</v>
      </c>
      <c r="M18">
        <v>11</v>
      </c>
      <c r="N18">
        <v>-1.9</v>
      </c>
      <c r="O18">
        <v>81</v>
      </c>
      <c r="P18">
        <v>128</v>
      </c>
      <c r="Q18">
        <v>0.28999999999999998</v>
      </c>
      <c r="R18">
        <v>0.8</v>
      </c>
      <c r="S18">
        <v>28</v>
      </c>
      <c r="T18">
        <v>-6</v>
      </c>
      <c r="U18">
        <v>16</v>
      </c>
      <c r="V18">
        <v>6</v>
      </c>
      <c r="W18">
        <v>17</v>
      </c>
      <c r="X18">
        <v>0.53</v>
      </c>
      <c r="Y18">
        <v>0.09</v>
      </c>
      <c r="Z18">
        <v>37</v>
      </c>
      <c r="AA18">
        <v>0.33</v>
      </c>
      <c r="AB18">
        <v>0.03</v>
      </c>
      <c r="AC18" s="10">
        <v>10627</v>
      </c>
      <c r="AD18" s="10">
        <v>31.45</v>
      </c>
      <c r="AE18" s="10"/>
      <c r="AF18" s="10">
        <v>102.38</v>
      </c>
    </row>
    <row r="19" spans="2:32" x14ac:dyDescent="0.2">
      <c r="J19" s="1">
        <v>0.04</v>
      </c>
      <c r="K19" s="1">
        <v>0.04</v>
      </c>
      <c r="L19" s="1">
        <v>0.21</v>
      </c>
      <c r="M19" s="1">
        <v>0.69</v>
      </c>
      <c r="N19" s="1">
        <v>0.49</v>
      </c>
      <c r="O19" s="1">
        <v>0.1</v>
      </c>
      <c r="P19" s="1">
        <v>0.13</v>
      </c>
      <c r="Q19" s="1">
        <v>0.21</v>
      </c>
      <c r="R19" s="1">
        <v>0.62</v>
      </c>
      <c r="S19" s="1">
        <v>0.33</v>
      </c>
      <c r="T19" s="1">
        <v>0.16</v>
      </c>
      <c r="U19" s="1">
        <v>0.05</v>
      </c>
      <c r="V19" s="1">
        <v>0.76</v>
      </c>
      <c r="W19" s="1">
        <v>0.24</v>
      </c>
      <c r="X19" s="1">
        <v>0.34</v>
      </c>
      <c r="Y19" s="1">
        <v>0.72</v>
      </c>
      <c r="Z19" s="1">
        <v>0.11</v>
      </c>
      <c r="AA19" s="1">
        <v>0.14000000000000001</v>
      </c>
      <c r="AB19" s="1">
        <v>0.86</v>
      </c>
      <c r="AC19" s="15">
        <v>0.28999999999999998</v>
      </c>
      <c r="AD19" s="15">
        <v>0.36</v>
      </c>
      <c r="AF19" s="15">
        <v>0.26</v>
      </c>
    </row>
    <row r="20" spans="2:32" x14ac:dyDescent="0.2">
      <c r="I20" t="s">
        <v>373</v>
      </c>
      <c r="J20" s="1">
        <f>[1]Bulls!J20-J19</f>
        <v>1.9999999999999997E-2</v>
      </c>
      <c r="K20" s="1">
        <f>[1]Bulls!K20-K19</f>
        <v>0.04</v>
      </c>
      <c r="L20" s="1">
        <f>[1]Bulls!L20-L19</f>
        <v>-1.999999999999999E-2</v>
      </c>
      <c r="M20" s="1">
        <f>[1]Bulls!M20-M19</f>
        <v>1.0000000000000009E-2</v>
      </c>
      <c r="N20" s="1">
        <f>[1]Bulls!N20-N19</f>
        <v>3.0000000000000027E-2</v>
      </c>
      <c r="O20" s="1">
        <f>[1]Bulls!O20-O19</f>
        <v>-4.0000000000000008E-2</v>
      </c>
      <c r="P20" s="1">
        <f>[1]Bulls!P20-P19</f>
        <v>-4.0000000000000008E-2</v>
      </c>
      <c r="Q20" s="1">
        <f>[1]Bulls!Q20-Q19</f>
        <v>-0.06</v>
      </c>
      <c r="R20" s="1">
        <f>[1]Bulls!R20-R19</f>
        <v>6.0000000000000053E-2</v>
      </c>
      <c r="S20" s="1">
        <f>[1]Bulls!S20-S19</f>
        <v>-0.15000000000000002</v>
      </c>
      <c r="T20" s="1">
        <f>[1]Bulls!T20-T19</f>
        <v>-1.0000000000000009E-2</v>
      </c>
      <c r="U20" s="1">
        <f>[1]Bulls!U20-U19</f>
        <v>6.9999999999999993E-2</v>
      </c>
      <c r="V20" s="1">
        <f>[1]Bulls!V20-V19</f>
        <v>-2.0000000000000018E-2</v>
      </c>
      <c r="W20" s="1">
        <f>[1]Bulls!W20-W19</f>
        <v>0.10000000000000003</v>
      </c>
      <c r="X20" s="1">
        <f>[1]Bulls!X20-X19</f>
        <v>-5.0000000000000044E-2</v>
      </c>
      <c r="Y20" s="1">
        <f>[1]Bulls!Y20-Y19</f>
        <v>-6.9999999999999951E-2</v>
      </c>
      <c r="Z20" s="1">
        <f>[1]Bulls!Z20-Z19</f>
        <v>9.999999999999995E-3</v>
      </c>
      <c r="AA20" s="1">
        <f>[1]Bulls!AA20-AA19</f>
        <v>-4.0000000000000008E-2</v>
      </c>
      <c r="AB20" s="1">
        <f>[1]Bulls!AB20-AB19</f>
        <v>3.0000000000000027E-2</v>
      </c>
    </row>
    <row r="22" spans="2:32" x14ac:dyDescent="0.2">
      <c r="B22" t="s">
        <v>312</v>
      </c>
      <c r="C22">
        <v>5245171</v>
      </c>
      <c r="E22" t="s">
        <v>70</v>
      </c>
      <c r="F22" t="s">
        <v>312</v>
      </c>
      <c r="G22" t="s">
        <v>313</v>
      </c>
      <c r="H22" s="18">
        <v>45820</v>
      </c>
      <c r="J22" s="6">
        <v>134</v>
      </c>
      <c r="K22" s="6">
        <v>83</v>
      </c>
      <c r="L22" s="6">
        <v>51</v>
      </c>
      <c r="M22" s="6">
        <v>19</v>
      </c>
      <c r="N22" s="6">
        <v>-5</v>
      </c>
      <c r="O22" s="6">
        <v>62</v>
      </c>
      <c r="P22" s="6">
        <v>95</v>
      </c>
      <c r="Q22" s="6">
        <v>0.21</v>
      </c>
      <c r="R22" s="6">
        <v>0.18</v>
      </c>
      <c r="S22" s="6">
        <v>25</v>
      </c>
      <c r="T22" s="6">
        <v>0</v>
      </c>
      <c r="U22" s="6">
        <v>15</v>
      </c>
      <c r="V22" s="6">
        <v>9</v>
      </c>
      <c r="W22" s="6">
        <v>18</v>
      </c>
      <c r="X22" s="6">
        <v>0.56999999999999995</v>
      </c>
      <c r="Y22" s="6">
        <v>0.1</v>
      </c>
      <c r="Z22" s="6">
        <v>10</v>
      </c>
      <c r="AA22" s="6">
        <v>-0.01</v>
      </c>
      <c r="AB22" s="6">
        <v>0.04</v>
      </c>
    </row>
    <row r="23" spans="2:32" x14ac:dyDescent="0.2">
      <c r="J23" s="1">
        <v>0.17</v>
      </c>
      <c r="K23" s="1">
        <v>0.08</v>
      </c>
      <c r="L23" s="1">
        <v>0.53</v>
      </c>
      <c r="M23" s="1">
        <v>0.06</v>
      </c>
      <c r="N23" s="1">
        <v>7.0000000000000007E-2</v>
      </c>
      <c r="O23" s="1">
        <v>0.69</v>
      </c>
      <c r="P23" s="1">
        <v>0.73</v>
      </c>
      <c r="Q23" s="1">
        <v>0.74</v>
      </c>
      <c r="R23" s="1">
        <v>0.06</v>
      </c>
      <c r="S23" s="1">
        <v>0.56000000000000005</v>
      </c>
      <c r="T23" s="1">
        <v>0.32</v>
      </c>
      <c r="U23" s="1">
        <v>7.0000000000000007E-2</v>
      </c>
      <c r="V23" s="1">
        <v>0.16</v>
      </c>
      <c r="W23" s="1">
        <v>0.17</v>
      </c>
      <c r="X23" s="1">
        <v>0.28000000000000003</v>
      </c>
      <c r="Y23" s="1">
        <v>0.76</v>
      </c>
      <c r="Z23" s="1">
        <v>0.87</v>
      </c>
      <c r="AA23" s="1">
        <v>0.76</v>
      </c>
      <c r="AB23" s="1">
        <v>0.9</v>
      </c>
    </row>
    <row r="24" spans="2:32" x14ac:dyDescent="0.2">
      <c r="I24" t="s">
        <v>373</v>
      </c>
      <c r="J24" s="1">
        <f>[1]Bulls!J23-J23</f>
        <v>7.9999999999999988E-2</v>
      </c>
      <c r="K24" s="1">
        <f>[1]Bulls!K23-K23</f>
        <v>6.9999999999999993E-2</v>
      </c>
      <c r="L24" s="1">
        <f>[1]Bulls!L23-L23</f>
        <v>2.0000000000000018E-2</v>
      </c>
      <c r="M24" s="1">
        <f>[1]Bulls!M23-M23</f>
        <v>-3.9999999999999994E-2</v>
      </c>
      <c r="N24" s="1">
        <f>[1]Bulls!N23-N23</f>
        <v>-2.0000000000000004E-2</v>
      </c>
      <c r="O24" s="1">
        <f>[1]Bulls!O23-O23</f>
        <v>1.0000000000000009E-2</v>
      </c>
      <c r="P24" s="1">
        <f>[1]Bulls!P23-P23</f>
        <v>2.0000000000000018E-2</v>
      </c>
      <c r="Q24" s="1">
        <f>[1]Bulls!Q23-Q23</f>
        <v>1.0000000000000009E-2</v>
      </c>
      <c r="R24" s="1">
        <f>[1]Bulls!R23-R23</f>
        <v>4.0000000000000008E-2</v>
      </c>
      <c r="S24" s="1">
        <f>[1]Bulls!S23-S23</f>
        <v>-1.0000000000000009E-2</v>
      </c>
      <c r="T24" s="1">
        <f>[1]Bulls!T23-T23</f>
        <v>8.0000000000000016E-2</v>
      </c>
      <c r="U24" s="1">
        <f>[1]Bulls!U23-U23</f>
        <v>-2.0000000000000004E-2</v>
      </c>
      <c r="V24" s="1">
        <f>[1]Bulls!V23-V23</f>
        <v>-1.0000000000000009E-2</v>
      </c>
      <c r="W24" s="1">
        <f>[1]Bulls!W23-W23</f>
        <v>-2.0000000000000018E-2</v>
      </c>
      <c r="X24" s="1">
        <f>[1]Bulls!X23-X23</f>
        <v>-3.0000000000000027E-2</v>
      </c>
      <c r="Y24" s="1">
        <f>[1]Bulls!Y23-Y23</f>
        <v>-0.10999999999999999</v>
      </c>
      <c r="Z24" s="1">
        <f>[1]Bulls!Z23-Z23</f>
        <v>3.0000000000000027E-2</v>
      </c>
      <c r="AA24" s="1">
        <f>[1]Bulls!AA23-AA23</f>
        <v>4.0000000000000036E-2</v>
      </c>
      <c r="AB24" s="1">
        <f>[1]Bulls!AB23-AB23</f>
        <v>-9.9999999999999978E-2</v>
      </c>
    </row>
    <row r="26" spans="2:32" x14ac:dyDescent="0.2">
      <c r="B26" s="16" t="s">
        <v>355</v>
      </c>
      <c r="C26">
        <v>5245177</v>
      </c>
      <c r="E26" t="s">
        <v>70</v>
      </c>
      <c r="F26" t="s">
        <v>355</v>
      </c>
      <c r="G26" t="s">
        <v>313</v>
      </c>
      <c r="H26" s="18">
        <v>46031</v>
      </c>
      <c r="J26" s="21">
        <v>154</v>
      </c>
      <c r="K26" s="21">
        <v>88</v>
      </c>
      <c r="L26" s="21">
        <v>66</v>
      </c>
      <c r="M26" s="21">
        <v>17</v>
      </c>
      <c r="N26" s="21">
        <v>-3.7</v>
      </c>
      <c r="O26" s="21">
        <v>63</v>
      </c>
      <c r="P26" s="21">
        <v>101</v>
      </c>
      <c r="Q26" s="21">
        <v>0.24</v>
      </c>
      <c r="R26" s="21">
        <v>0.46</v>
      </c>
      <c r="S26" s="21">
        <v>25</v>
      </c>
      <c r="T26" s="21">
        <v>4</v>
      </c>
      <c r="U26" s="21">
        <v>16</v>
      </c>
      <c r="V26" s="21">
        <v>9</v>
      </c>
      <c r="W26" s="21">
        <v>19</v>
      </c>
      <c r="X26" s="21">
        <v>0.75</v>
      </c>
      <c r="Y26" s="21">
        <v>0.1</v>
      </c>
      <c r="Z26" s="21">
        <v>13</v>
      </c>
      <c r="AA26" s="21">
        <v>0.12</v>
      </c>
      <c r="AB26" s="21">
        <v>0.05</v>
      </c>
    </row>
    <row r="27" spans="2:32" x14ac:dyDescent="0.2">
      <c r="J27" s="1">
        <v>0.06</v>
      </c>
      <c r="K27" s="1">
        <v>0.05</v>
      </c>
      <c r="L27" s="1">
        <v>0.24</v>
      </c>
      <c r="M27" s="1">
        <v>0.17</v>
      </c>
      <c r="N27" s="1">
        <v>0.19</v>
      </c>
      <c r="O27" s="1">
        <v>0.65</v>
      </c>
      <c r="P27" s="1">
        <v>0.61</v>
      </c>
      <c r="Q27" s="1">
        <v>0.55000000000000004</v>
      </c>
      <c r="R27" s="1">
        <v>0.23</v>
      </c>
      <c r="S27" s="1">
        <v>0.64</v>
      </c>
      <c r="T27" s="1">
        <v>0.49</v>
      </c>
      <c r="U27" s="1">
        <v>0.06</v>
      </c>
      <c r="V27" s="1">
        <v>0.13</v>
      </c>
      <c r="W27" s="1">
        <v>0.11</v>
      </c>
      <c r="X27" s="1">
        <v>0.1</v>
      </c>
      <c r="Y27" s="1">
        <v>0.75</v>
      </c>
      <c r="Z27" s="1">
        <v>0.81</v>
      </c>
      <c r="AA27" s="1">
        <v>0.51</v>
      </c>
      <c r="AB27" s="1">
        <v>0.96</v>
      </c>
    </row>
    <row r="28" spans="2:32" x14ac:dyDescent="0.2">
      <c r="I28" t="s">
        <v>373</v>
      </c>
      <c r="J28" s="1">
        <f>[1]Bulls!J26-J27</f>
        <v>4.0000000000000008E-2</v>
      </c>
      <c r="K28" s="1">
        <f>[1]Bulls!K26-K27</f>
        <v>0.05</v>
      </c>
      <c r="L28" s="1">
        <f>[1]Bulls!L26-L27</f>
        <v>0.06</v>
      </c>
      <c r="M28" s="1">
        <f>[1]Bulls!M26-M27</f>
        <v>-7.0000000000000007E-2</v>
      </c>
      <c r="N28" s="1">
        <f>[1]Bulls!N26-N27</f>
        <v>-4.0000000000000008E-2</v>
      </c>
      <c r="O28" s="1">
        <f>[1]Bulls!O26-O27</f>
        <v>0</v>
      </c>
      <c r="P28" s="1">
        <f>[1]Bulls!P26-P27</f>
        <v>4.0000000000000036E-2</v>
      </c>
      <c r="Q28" s="1">
        <f>[1]Bulls!Q26-Q27</f>
        <v>0</v>
      </c>
      <c r="R28" s="1">
        <f>[1]Bulls!R26-R27</f>
        <v>0.11999999999999997</v>
      </c>
      <c r="S28" s="1">
        <f>[1]Bulls!S26-S27</f>
        <v>-8.9999999999999969E-2</v>
      </c>
      <c r="T28" s="1">
        <f>[1]Bulls!T26-T27</f>
        <v>0.16000000000000003</v>
      </c>
      <c r="U28" s="1">
        <f>[1]Bulls!U26-U27</f>
        <v>-9.999999999999995E-3</v>
      </c>
      <c r="V28" s="1">
        <f>[1]Bulls!V26-V27</f>
        <v>1.999999999999999E-2</v>
      </c>
      <c r="W28" s="1">
        <f>[1]Bulls!W26-W27</f>
        <v>-9.999999999999995E-3</v>
      </c>
      <c r="X28" s="1">
        <f>[1]Bulls!X26-X27</f>
        <v>4.9999999999999989E-2</v>
      </c>
      <c r="Y28" s="1">
        <f>[1]Bulls!Y26-Y27</f>
        <v>-0.15000000000000002</v>
      </c>
      <c r="Z28" s="1">
        <f>[1]Bulls!Z26-Z27</f>
        <v>-1.0000000000000009E-2</v>
      </c>
      <c r="AA28" s="1">
        <f>[1]Bulls!AA26-AA27</f>
        <v>-1.0000000000000009E-2</v>
      </c>
      <c r="AB28" s="1">
        <f>[1]Bulls!AB26-AB27</f>
        <v>-5.9999999999999942E-2</v>
      </c>
    </row>
    <row r="29" spans="2:32" x14ac:dyDescent="0.2">
      <c r="B29" t="s">
        <v>374</v>
      </c>
      <c r="F29" t="s">
        <v>374</v>
      </c>
      <c r="H29" s="18">
        <v>46264</v>
      </c>
    </row>
  </sheetData>
  <conditionalFormatting sqref="J8:AB8">
    <cfRule type="cellIs" dxfId="79" priority="2" operator="greaterThan">
      <formula>0.03</formula>
    </cfRule>
    <cfRule type="cellIs" dxfId="78" priority="3" operator="lessThan">
      <formula>-0.05</formula>
    </cfRule>
    <cfRule type="cellIs" dxfId="77" priority="1" operator="greaterThan">
      <formula>0.05</formula>
    </cfRule>
  </conditionalFormatting>
  <conditionalFormatting sqref="J12:AB12">
    <cfRule type="cellIs" dxfId="76" priority="4" operator="greaterThan">
      <formula>0.05</formula>
    </cfRule>
    <cfRule type="cellIs" dxfId="75" priority="5" operator="greaterThan">
      <formula>0.03</formula>
    </cfRule>
    <cfRule type="cellIs" dxfId="74" priority="6" operator="lessThan">
      <formula>-0.05</formula>
    </cfRule>
  </conditionalFormatting>
  <conditionalFormatting sqref="J16:AB16">
    <cfRule type="cellIs" dxfId="73" priority="7" operator="greaterThan">
      <formula>0.05</formula>
    </cfRule>
    <cfRule type="cellIs" dxfId="72" priority="8" operator="greaterThan">
      <formula>0.03</formula>
    </cfRule>
    <cfRule type="cellIs" dxfId="71" priority="9" operator="lessThan">
      <formula>-0.05</formula>
    </cfRule>
  </conditionalFormatting>
  <conditionalFormatting sqref="J20:AB20">
    <cfRule type="cellIs" dxfId="70" priority="10" operator="greaterThan">
      <formula>0.05</formula>
    </cfRule>
    <cfRule type="cellIs" dxfId="69" priority="11" operator="greaterThan">
      <formula>0.03</formula>
    </cfRule>
    <cfRule type="cellIs" dxfId="68" priority="12" operator="lessThan">
      <formula>-0.05</formula>
    </cfRule>
  </conditionalFormatting>
  <conditionalFormatting sqref="J23:AB23">
    <cfRule type="cellIs" dxfId="67" priority="22" operator="greaterThanOrEqual">
      <formula>0.85</formula>
    </cfRule>
    <cfRule type="cellIs" dxfId="66" priority="21" operator="lessThan">
      <formula>0.16</formula>
    </cfRule>
  </conditionalFormatting>
  <conditionalFormatting sqref="J24:AB24">
    <cfRule type="cellIs" dxfId="65" priority="13" operator="greaterThan">
      <formula>0.05</formula>
    </cfRule>
    <cfRule type="cellIs" dxfId="64" priority="14" operator="greaterThan">
      <formula>0.03</formula>
    </cfRule>
    <cfRule type="cellIs" dxfId="63" priority="15" operator="lessThan">
      <formula>-0.05</formula>
    </cfRule>
  </conditionalFormatting>
  <conditionalFormatting sqref="J27:AB27">
    <cfRule type="cellIs" dxfId="62" priority="20" operator="greaterThanOrEqual">
      <formula>0.85</formula>
    </cfRule>
    <cfRule type="cellIs" dxfId="61" priority="19" operator="lessThan">
      <formula>0.16</formula>
    </cfRule>
  </conditionalFormatting>
  <conditionalFormatting sqref="J28:AB28">
    <cfRule type="cellIs" dxfId="60" priority="16" operator="greaterThan">
      <formula>0.05</formula>
    </cfRule>
    <cfRule type="cellIs" dxfId="59" priority="18" operator="lessThan">
      <formula>-0.05</formula>
    </cfRule>
    <cfRule type="cellIs" dxfId="58" priority="17" operator="greaterThan">
      <formula>0.03</formula>
    </cfRule>
  </conditionalFormatting>
  <conditionalFormatting sqref="J15:AD15 AF15">
    <cfRule type="cellIs" dxfId="57" priority="31" operator="lessThan">
      <formula>0.16</formula>
    </cfRule>
    <cfRule type="cellIs" dxfId="56" priority="32" operator="greaterThanOrEqual">
      <formula>0.85</formula>
    </cfRule>
  </conditionalFormatting>
  <conditionalFormatting sqref="J19:AD19 AF19">
    <cfRule type="cellIs" dxfId="55" priority="33" operator="lessThan">
      <formula>0.16</formula>
    </cfRule>
    <cfRule type="cellIs" dxfId="54" priority="34" operator="greaterThanOrEqual">
      <formula>0.85</formula>
    </cfRule>
  </conditionalFormatting>
  <conditionalFormatting sqref="J7:AE7">
    <cfRule type="cellIs" dxfId="53" priority="23" operator="lessThan">
      <formula>0.16</formula>
    </cfRule>
    <cfRule type="cellIs" dxfId="52" priority="24" operator="greaterThanOrEqual">
      <formula>0.85</formula>
    </cfRule>
  </conditionalFormatting>
  <conditionalFormatting sqref="J11:AF11">
    <cfRule type="cellIs" dxfId="51" priority="25" operator="lessThan">
      <formula>0.16</formula>
    </cfRule>
    <cfRule type="cellIs" dxfId="50" priority="26" operator="greaterThanOrEqual">
      <formula>0.85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0EBC-8B6C-B04A-8961-BCBF93AB258E}">
  <dimension ref="A1:Y55"/>
  <sheetViews>
    <sheetView tabSelected="1" topLeftCell="D20" zoomScale="110" zoomScaleNormal="110" workbookViewId="0">
      <selection activeCell="K47" sqref="K47"/>
    </sheetView>
  </sheetViews>
  <sheetFormatPr baseColWidth="10" defaultRowHeight="15" x14ac:dyDescent="0.2"/>
  <cols>
    <col min="1" max="1" width="19.33203125" customWidth="1"/>
    <col min="2" max="2" width="9.33203125" customWidth="1"/>
    <col min="3" max="3" width="27.33203125" customWidth="1"/>
    <col min="4" max="4" width="6" customWidth="1"/>
    <col min="5" max="5" width="25.1640625" customWidth="1"/>
    <col min="6" max="6" width="10.1640625" bestFit="1" customWidth="1"/>
    <col min="7" max="23" width="8" customWidth="1"/>
  </cols>
  <sheetData>
    <row r="1" spans="1:25" x14ac:dyDescent="0.2">
      <c r="B1" t="s">
        <v>337</v>
      </c>
      <c r="C1" t="s">
        <v>353</v>
      </c>
    </row>
    <row r="4" spans="1:25" x14ac:dyDescent="0.2">
      <c r="B4" t="s">
        <v>94</v>
      </c>
      <c r="C4" t="s">
        <v>95</v>
      </c>
      <c r="E4" t="s">
        <v>96</v>
      </c>
    </row>
    <row r="5" spans="1:25" x14ac:dyDescent="0.2">
      <c r="B5" s="2" t="s">
        <v>332</v>
      </c>
      <c r="C5" t="s">
        <v>330</v>
      </c>
      <c r="E5">
        <v>5038727</v>
      </c>
    </row>
    <row r="6" spans="1:25" x14ac:dyDescent="0.2">
      <c r="A6" s="5" t="s">
        <v>357</v>
      </c>
      <c r="B6" s="2" t="s">
        <v>333</v>
      </c>
      <c r="C6" t="s">
        <v>323</v>
      </c>
      <c r="E6">
        <v>4615573</v>
      </c>
    </row>
    <row r="7" spans="1:25" ht="16" x14ac:dyDescent="0.2">
      <c r="A7" s="5" t="s">
        <v>358</v>
      </c>
      <c r="B7" s="3" t="s">
        <v>334</v>
      </c>
      <c r="C7" t="s">
        <v>285</v>
      </c>
      <c r="E7" s="2" t="s">
        <v>93</v>
      </c>
    </row>
    <row r="8" spans="1:25" ht="16" x14ac:dyDescent="0.2">
      <c r="B8" s="3" t="s">
        <v>335</v>
      </c>
      <c r="C8" t="s">
        <v>282</v>
      </c>
      <c r="E8">
        <v>3555188</v>
      </c>
    </row>
    <row r="9" spans="1:25" ht="16" x14ac:dyDescent="0.2">
      <c r="B9" s="3" t="s">
        <v>90</v>
      </c>
      <c r="C9" t="s">
        <v>288</v>
      </c>
      <c r="E9">
        <v>4303789</v>
      </c>
    </row>
    <row r="10" spans="1:25" ht="16" x14ac:dyDescent="0.2">
      <c r="B10" s="3" t="s">
        <v>91</v>
      </c>
      <c r="C10" t="s">
        <v>280</v>
      </c>
      <c r="E10">
        <v>3483547</v>
      </c>
    </row>
    <row r="11" spans="1:25" ht="16" x14ac:dyDescent="0.2">
      <c r="B11" s="3" t="s">
        <v>92</v>
      </c>
      <c r="C11" t="s">
        <v>277</v>
      </c>
      <c r="E11">
        <v>1725295</v>
      </c>
    </row>
    <row r="12" spans="1:25" x14ac:dyDescent="0.2">
      <c r="B12" s="2" t="s">
        <v>336</v>
      </c>
      <c r="C12" t="s">
        <v>320</v>
      </c>
      <c r="E12">
        <v>4276203</v>
      </c>
    </row>
    <row r="16" spans="1:25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s">
        <v>12</v>
      </c>
      <c r="M16" t="s">
        <v>13</v>
      </c>
      <c r="N16" t="s">
        <v>14</v>
      </c>
      <c r="O16" t="s">
        <v>15</v>
      </c>
      <c r="P16" t="s">
        <v>16</v>
      </c>
      <c r="Q16" t="s">
        <v>17</v>
      </c>
      <c r="R16" t="s">
        <v>18</v>
      </c>
      <c r="S16" t="s">
        <v>19</v>
      </c>
      <c r="T16" t="s">
        <v>20</v>
      </c>
      <c r="U16" t="s">
        <v>21</v>
      </c>
      <c r="V16" t="s">
        <v>22</v>
      </c>
      <c r="W16" t="s">
        <v>23</v>
      </c>
      <c r="X16" t="s">
        <v>24</v>
      </c>
      <c r="Y16" t="s">
        <v>25</v>
      </c>
    </row>
    <row r="17" spans="1:25" x14ac:dyDescent="0.2">
      <c r="A17">
        <v>1725295</v>
      </c>
      <c r="B17" t="s">
        <v>26</v>
      </c>
      <c r="C17" t="s">
        <v>70</v>
      </c>
      <c r="D17" t="s">
        <v>276</v>
      </c>
      <c r="E17" t="s">
        <v>277</v>
      </c>
      <c r="F17" t="s">
        <v>278</v>
      </c>
      <c r="G17">
        <v>111</v>
      </c>
      <c r="H17">
        <v>42</v>
      </c>
      <c r="I17">
        <v>69</v>
      </c>
      <c r="J17">
        <v>12</v>
      </c>
      <c r="K17">
        <v>-2.2999999999999998</v>
      </c>
      <c r="L17">
        <v>74</v>
      </c>
      <c r="M17">
        <v>108</v>
      </c>
      <c r="N17">
        <v>0.21</v>
      </c>
      <c r="O17">
        <v>0.6</v>
      </c>
      <c r="P17">
        <v>27</v>
      </c>
      <c r="Q17">
        <v>-5</v>
      </c>
      <c r="R17">
        <v>16</v>
      </c>
      <c r="S17">
        <v>8</v>
      </c>
      <c r="T17">
        <v>8</v>
      </c>
      <c r="U17">
        <v>0.75</v>
      </c>
      <c r="V17">
        <v>0.08</v>
      </c>
      <c r="W17">
        <v>30</v>
      </c>
      <c r="X17">
        <v>0.09</v>
      </c>
      <c r="Y17">
        <v>0.01</v>
      </c>
    </row>
    <row r="18" spans="1:25" x14ac:dyDescent="0.2">
      <c r="G18" s="1">
        <v>0.41</v>
      </c>
      <c r="H18" s="1">
        <v>0.67</v>
      </c>
      <c r="I18" s="1">
        <v>0.24</v>
      </c>
      <c r="J18" s="1">
        <v>0.55000000000000004</v>
      </c>
      <c r="K18" s="1">
        <v>0.41</v>
      </c>
      <c r="L18" s="1">
        <v>0.28000000000000003</v>
      </c>
      <c r="M18" s="1">
        <v>0.5</v>
      </c>
      <c r="N18" s="1">
        <v>0.76</v>
      </c>
      <c r="O18" s="1">
        <v>0.4</v>
      </c>
      <c r="P18" s="1">
        <v>0.44</v>
      </c>
      <c r="Q18" s="1">
        <v>0.14000000000000001</v>
      </c>
      <c r="R18" s="1">
        <v>0.09</v>
      </c>
      <c r="S18" s="1">
        <v>0.26</v>
      </c>
      <c r="T18" s="1">
        <v>0.96</v>
      </c>
      <c r="U18" s="1">
        <v>0.13</v>
      </c>
      <c r="V18" s="1">
        <v>0.56999999999999995</v>
      </c>
      <c r="W18" s="1">
        <v>0.31</v>
      </c>
      <c r="X18" s="1">
        <v>0.53</v>
      </c>
      <c r="Y18" s="1">
        <v>0.37</v>
      </c>
    </row>
    <row r="19" spans="1:25" x14ac:dyDescent="0.2">
      <c r="F19" t="s">
        <v>373</v>
      </c>
      <c r="G19" s="1">
        <f>'[1]Owned Semen'!H18-G18</f>
        <v>-0.12999999999999995</v>
      </c>
      <c r="H19" s="1">
        <f>'[1]Owned Semen'!I18-H18</f>
        <v>-7.0000000000000062E-2</v>
      </c>
      <c r="I19" s="1">
        <f>'[1]Owned Semen'!J18-I18</f>
        <v>-0.09</v>
      </c>
      <c r="J19" s="1">
        <f>'[1]Owned Semen'!K18-J18</f>
        <v>0</v>
      </c>
      <c r="K19" s="1">
        <f>'[1]Owned Semen'!L18-K18</f>
        <v>1.0000000000000009E-2</v>
      </c>
      <c r="L19" s="1">
        <f>'[1]Owned Semen'!M18-L18</f>
        <v>-2.0000000000000018E-2</v>
      </c>
      <c r="M19" s="1">
        <f>'[1]Owned Semen'!N18-M18</f>
        <v>-0.06</v>
      </c>
      <c r="N19" s="1">
        <f>'[1]Owned Semen'!O18-N18</f>
        <v>-7.0000000000000062E-2</v>
      </c>
      <c r="O19" s="1">
        <f>'[1]Owned Semen'!P18-O18</f>
        <v>0.12</v>
      </c>
      <c r="P19" s="1">
        <f>'[1]Owned Semen'!Q18-P18</f>
        <v>0.11000000000000004</v>
      </c>
      <c r="Q19" s="1">
        <f>'[1]Owned Semen'!R18-Q18</f>
        <v>-2.0000000000000018E-2</v>
      </c>
      <c r="R19" s="1">
        <f>'[1]Owned Semen'!S18-R18</f>
        <v>-0.08</v>
      </c>
      <c r="S19" s="1">
        <f>'[1]Owned Semen'!T18-S18</f>
        <v>0.12</v>
      </c>
      <c r="T19" s="1">
        <f>'[1]Owned Semen'!U18-T18</f>
        <v>1.0000000000000009E-2</v>
      </c>
      <c r="U19" s="1">
        <f>'[1]Owned Semen'!V18-U18</f>
        <v>-0.08</v>
      </c>
      <c r="V19" s="1">
        <f>'[1]Owned Semen'!W18-V18</f>
        <v>0.38</v>
      </c>
      <c r="W19" s="1">
        <f>'[1]Owned Semen'!X18-W18</f>
        <v>-0.13999999999999999</v>
      </c>
      <c r="X19" s="1">
        <f>'[1]Owned Semen'!Y18-X18</f>
        <v>8.9999999999999969E-2</v>
      </c>
      <c r="Y19" s="1">
        <f>'[1]Owned Semen'!Z18-Y18</f>
        <v>0.55000000000000004</v>
      </c>
    </row>
    <row r="21" spans="1:25" x14ac:dyDescent="0.2">
      <c r="A21">
        <v>3483547</v>
      </c>
      <c r="B21" t="s">
        <v>26</v>
      </c>
      <c r="C21" t="s">
        <v>70</v>
      </c>
      <c r="D21" t="s">
        <v>279</v>
      </c>
      <c r="E21" t="s">
        <v>280</v>
      </c>
      <c r="F21" t="s">
        <v>281</v>
      </c>
      <c r="G21">
        <v>140</v>
      </c>
      <c r="H21">
        <v>48</v>
      </c>
      <c r="I21">
        <v>92</v>
      </c>
      <c r="J21">
        <v>15</v>
      </c>
      <c r="K21">
        <v>-2.6</v>
      </c>
      <c r="L21">
        <v>75</v>
      </c>
      <c r="M21">
        <v>121</v>
      </c>
      <c r="N21">
        <v>0.28999999999999998</v>
      </c>
      <c r="O21">
        <v>0.41</v>
      </c>
      <c r="P21">
        <v>33</v>
      </c>
      <c r="Q21">
        <v>5</v>
      </c>
      <c r="R21">
        <v>9</v>
      </c>
      <c r="S21">
        <v>11</v>
      </c>
      <c r="T21">
        <v>13</v>
      </c>
      <c r="U21">
        <v>1.1399999999999999</v>
      </c>
      <c r="V21">
        <v>0.22</v>
      </c>
      <c r="W21">
        <v>21</v>
      </c>
      <c r="X21">
        <v>-0.22</v>
      </c>
      <c r="Y21">
        <v>0.04</v>
      </c>
    </row>
    <row r="22" spans="1:25" x14ac:dyDescent="0.2">
      <c r="G22" s="1">
        <v>0.15</v>
      </c>
      <c r="H22" s="1">
        <v>0.56999999999999995</v>
      </c>
      <c r="I22" s="1">
        <v>0.06</v>
      </c>
      <c r="J22" s="1">
        <v>0.27</v>
      </c>
      <c r="K22" s="1">
        <v>0.35</v>
      </c>
      <c r="L22" s="1">
        <v>0.26</v>
      </c>
      <c r="M22" s="1">
        <v>0.26</v>
      </c>
      <c r="N22" s="1">
        <v>0.28999999999999998</v>
      </c>
      <c r="O22" s="1">
        <v>0.23</v>
      </c>
      <c r="P22" s="1">
        <v>0.08</v>
      </c>
      <c r="Q22" s="1">
        <v>0.56000000000000005</v>
      </c>
      <c r="R22" s="1">
        <v>0.92</v>
      </c>
      <c r="S22" s="1">
        <v>0.03</v>
      </c>
      <c r="T22" s="1">
        <v>0.72</v>
      </c>
      <c r="U22" s="1">
        <v>0.01</v>
      </c>
      <c r="V22" s="1">
        <v>0.95</v>
      </c>
      <c r="W22" s="1">
        <v>0.56999999999999995</v>
      </c>
      <c r="X22" s="1">
        <v>0.93</v>
      </c>
      <c r="Y22" s="1">
        <v>0.86</v>
      </c>
    </row>
    <row r="23" spans="1:25" x14ac:dyDescent="0.2">
      <c r="F23" t="s">
        <v>373</v>
      </c>
      <c r="G23" s="1">
        <f>'[1]Owned Semen'!H21-G22</f>
        <v>-0.06</v>
      </c>
      <c r="H23" s="1">
        <f>'[1]Owned Semen'!I21-H22</f>
        <v>-2.9999999999999916E-2</v>
      </c>
      <c r="I23" s="1">
        <f>'[1]Owned Semen'!J21-I22</f>
        <v>-0.03</v>
      </c>
      <c r="J23" s="1">
        <f>'[1]Owned Semen'!K21-J22</f>
        <v>-6.0000000000000026E-2</v>
      </c>
      <c r="K23" s="1">
        <f>'[1]Owned Semen'!L21-K22</f>
        <v>1.0000000000000009E-2</v>
      </c>
      <c r="L23" s="1">
        <f>'[1]Owned Semen'!M21-L22</f>
        <v>0</v>
      </c>
      <c r="M23" s="1">
        <f>'[1]Owned Semen'!N21-M22</f>
        <v>-0.03</v>
      </c>
      <c r="N23" s="1">
        <f>'[1]Owned Semen'!O21-N22</f>
        <v>-6.9999999999999979E-2</v>
      </c>
      <c r="O23" s="1">
        <f>'[1]Owned Semen'!P21-O22</f>
        <v>0.12999999999999998</v>
      </c>
      <c r="P23" s="1">
        <f>'[1]Owned Semen'!Q21-P22</f>
        <v>-0.03</v>
      </c>
      <c r="Q23" s="1">
        <f>'[1]Owned Semen'!R21-Q22</f>
        <v>0.12</v>
      </c>
      <c r="R23" s="1">
        <f>'[1]Owned Semen'!S21-R22</f>
        <v>-0.13</v>
      </c>
      <c r="S23" s="1">
        <f>'[1]Owned Semen'!T21-S22</f>
        <v>0</v>
      </c>
      <c r="T23" s="1">
        <f>'[1]Owned Semen'!U21-T22</f>
        <v>0</v>
      </c>
      <c r="U23" s="1">
        <f>'[1]Owned Semen'!V21-U22</f>
        <v>0</v>
      </c>
      <c r="V23" s="1">
        <f>'[1]Owned Semen'!W21-V22</f>
        <v>-1.0000000000000009E-2</v>
      </c>
      <c r="W23" s="1">
        <f>'[1]Owned Semen'!X21-W22</f>
        <v>-0.25999999999999995</v>
      </c>
      <c r="X23" s="1">
        <f>'[1]Owned Semen'!Y21-X22</f>
        <v>-0.10000000000000009</v>
      </c>
      <c r="Y23" s="1">
        <f>'[1]Owned Semen'!Z21-Y22</f>
        <v>-3.0000000000000027E-2</v>
      </c>
    </row>
    <row r="25" spans="1:25" x14ac:dyDescent="0.2">
      <c r="A25">
        <v>3555188</v>
      </c>
      <c r="B25" t="s">
        <v>26</v>
      </c>
      <c r="C25" t="s">
        <v>70</v>
      </c>
      <c r="D25">
        <v>6305</v>
      </c>
      <c r="E25" t="s">
        <v>282</v>
      </c>
      <c r="F25" t="s">
        <v>283</v>
      </c>
      <c r="G25">
        <v>178</v>
      </c>
      <c r="H25">
        <v>91</v>
      </c>
      <c r="I25">
        <v>87</v>
      </c>
      <c r="J25">
        <v>15</v>
      </c>
      <c r="K25">
        <v>-4.5999999999999996</v>
      </c>
      <c r="L25">
        <v>61</v>
      </c>
      <c r="M25">
        <v>113</v>
      </c>
      <c r="N25">
        <v>0.32</v>
      </c>
      <c r="O25">
        <v>1.23</v>
      </c>
      <c r="P25">
        <v>37</v>
      </c>
      <c r="Q25">
        <v>2</v>
      </c>
      <c r="R25">
        <v>17</v>
      </c>
      <c r="S25">
        <v>11</v>
      </c>
      <c r="T25">
        <v>17</v>
      </c>
      <c r="U25">
        <v>0.53</v>
      </c>
      <c r="V25">
        <v>0</v>
      </c>
      <c r="W25">
        <v>41</v>
      </c>
      <c r="X25">
        <v>0.64</v>
      </c>
      <c r="Y25">
        <v>0.03</v>
      </c>
    </row>
    <row r="26" spans="1:25" x14ac:dyDescent="0.2">
      <c r="G26" s="1">
        <v>0.03</v>
      </c>
      <c r="H26" s="1">
        <v>0.06</v>
      </c>
      <c r="I26" s="1">
        <v>0.09</v>
      </c>
      <c r="J26" s="1">
        <v>0.32</v>
      </c>
      <c r="K26" s="1">
        <v>0.1</v>
      </c>
      <c r="L26" s="1">
        <v>0.72</v>
      </c>
      <c r="M26" s="1">
        <v>0.41</v>
      </c>
      <c r="N26" s="1">
        <v>0.14000000000000001</v>
      </c>
      <c r="O26" s="1">
        <v>0.87</v>
      </c>
      <c r="P26" s="1">
        <v>0.01</v>
      </c>
      <c r="Q26" s="1">
        <v>0.36</v>
      </c>
      <c r="R26" s="1">
        <v>0.05</v>
      </c>
      <c r="S26" s="1">
        <v>0.03</v>
      </c>
      <c r="T26" s="1">
        <v>0.28999999999999998</v>
      </c>
      <c r="U26" s="1">
        <v>0.35</v>
      </c>
      <c r="V26" s="1">
        <v>0.27</v>
      </c>
      <c r="W26" s="1">
        <v>0.12</v>
      </c>
      <c r="X26" s="1">
        <v>0.05</v>
      </c>
      <c r="Y26" s="1">
        <v>0.78</v>
      </c>
    </row>
    <row r="27" spans="1:25" x14ac:dyDescent="0.2">
      <c r="F27" t="s">
        <v>373</v>
      </c>
      <c r="G27" s="1">
        <f>'[1]Owned Semen'!H24-G26</f>
        <v>0</v>
      </c>
      <c r="H27" s="1">
        <f>'[1]Owned Semen'!I24-H26</f>
        <v>0</v>
      </c>
      <c r="I27" s="1">
        <f>'[1]Owned Semen'!J24-I26</f>
        <v>0</v>
      </c>
      <c r="J27" s="1">
        <f>'[1]Owned Semen'!K24-J26</f>
        <v>-4.9999999999999989E-2</v>
      </c>
      <c r="K27" s="1">
        <f>'[1]Owned Semen'!L24-K26</f>
        <v>-1.0000000000000009E-2</v>
      </c>
      <c r="L27" s="1">
        <f>'[1]Owned Semen'!M24-L26</f>
        <v>0</v>
      </c>
      <c r="M27" s="1">
        <f>'[1]Owned Semen'!N24-M26</f>
        <v>-9.9999999999999534E-3</v>
      </c>
      <c r="N27" s="1">
        <f>'[1]Owned Semen'!O24-N26</f>
        <v>-1.0000000000000009E-2</v>
      </c>
      <c r="O27" s="1">
        <f>'[1]Owned Semen'!P24-O26</f>
        <v>1.0000000000000009E-2</v>
      </c>
      <c r="P27" s="1">
        <f>'[1]Owned Semen'!Q24-P26</f>
        <v>0</v>
      </c>
      <c r="Q27" s="1">
        <f>'[1]Owned Semen'!R24-Q26</f>
        <v>0</v>
      </c>
      <c r="R27" s="1">
        <f>'[1]Owned Semen'!S24-R26</f>
        <v>0.03</v>
      </c>
      <c r="S27" s="1">
        <f>'[1]Owned Semen'!T24-S26</f>
        <v>-9.9999999999999985E-3</v>
      </c>
      <c r="T27" s="1">
        <f>'[1]Owned Semen'!U24-T26</f>
        <v>-9.9999999999999534E-3</v>
      </c>
      <c r="U27" s="1">
        <f>'[1]Owned Semen'!V24-U26</f>
        <v>0</v>
      </c>
      <c r="V27" s="1">
        <f>'[1]Owned Semen'!W24-V26</f>
        <v>4.9999999999999989E-2</v>
      </c>
      <c r="W27" s="1">
        <f>'[1]Owned Semen'!X24-W26</f>
        <v>1.0000000000000009E-2</v>
      </c>
      <c r="X27" s="1">
        <f>'[1]Owned Semen'!Y24-X26</f>
        <v>9.999999999999995E-3</v>
      </c>
      <c r="Y27" s="1">
        <f>'[1]Owned Semen'!Z24-Y26</f>
        <v>1.0000000000000009E-2</v>
      </c>
    </row>
    <row r="29" spans="1:25" x14ac:dyDescent="0.2">
      <c r="A29">
        <v>3925037</v>
      </c>
      <c r="B29" t="s">
        <v>26</v>
      </c>
      <c r="C29" t="s">
        <v>70</v>
      </c>
      <c r="D29" t="s">
        <v>284</v>
      </c>
      <c r="E29" t="s">
        <v>285</v>
      </c>
      <c r="F29" t="s">
        <v>286</v>
      </c>
      <c r="G29">
        <v>184</v>
      </c>
      <c r="H29">
        <v>114</v>
      </c>
      <c r="I29">
        <v>70</v>
      </c>
      <c r="J29">
        <v>15</v>
      </c>
      <c r="K29">
        <v>-4.3</v>
      </c>
      <c r="L29">
        <v>76</v>
      </c>
      <c r="M29">
        <v>110</v>
      </c>
      <c r="N29">
        <v>0.22</v>
      </c>
      <c r="O29">
        <v>1.05</v>
      </c>
      <c r="P29">
        <v>32</v>
      </c>
      <c r="Q29">
        <v>-7</v>
      </c>
      <c r="R29">
        <v>13</v>
      </c>
      <c r="S29">
        <v>9</v>
      </c>
      <c r="T29">
        <v>21</v>
      </c>
      <c r="U29">
        <v>0.89</v>
      </c>
      <c r="V29">
        <v>-0.08</v>
      </c>
      <c r="W29">
        <v>23</v>
      </c>
      <c r="X29">
        <v>0.4</v>
      </c>
      <c r="Y29">
        <v>-0.01</v>
      </c>
    </row>
    <row r="30" spans="1:25" x14ac:dyDescent="0.2">
      <c r="G30" s="1">
        <v>0.02</v>
      </c>
      <c r="H30" s="1">
        <v>0.01</v>
      </c>
      <c r="I30" s="1">
        <v>0.24</v>
      </c>
      <c r="J30" s="1">
        <v>0.35</v>
      </c>
      <c r="K30" s="1">
        <v>0.13</v>
      </c>
      <c r="L30" s="1">
        <v>0.24</v>
      </c>
      <c r="M30" s="1">
        <v>0.45</v>
      </c>
      <c r="N30" s="1">
        <v>0.73</v>
      </c>
      <c r="O30" s="1">
        <v>0.78</v>
      </c>
      <c r="P30" s="1">
        <v>0.11</v>
      </c>
      <c r="Q30" s="1">
        <v>0.1</v>
      </c>
      <c r="R30" s="1">
        <v>0.35</v>
      </c>
      <c r="S30" s="1">
        <v>0.12</v>
      </c>
      <c r="T30" s="1">
        <v>0.04</v>
      </c>
      <c r="U30" s="1">
        <v>0.06</v>
      </c>
      <c r="V30" s="1">
        <v>0.08</v>
      </c>
      <c r="W30" s="1">
        <v>0.49</v>
      </c>
      <c r="X30" s="1">
        <v>0.14000000000000001</v>
      </c>
      <c r="Y30" s="1">
        <v>0.17</v>
      </c>
    </row>
    <row r="31" spans="1:25" x14ac:dyDescent="0.2">
      <c r="F31" t="s">
        <v>373</v>
      </c>
      <c r="G31" s="1">
        <f>'[1]Owned Semen'!H27-G30</f>
        <v>-0.01</v>
      </c>
      <c r="H31" s="1">
        <f>'[1]Owned Semen'!I27-H30</f>
        <v>0</v>
      </c>
      <c r="I31" s="1">
        <f>'[1]Owned Semen'!J27-I30</f>
        <v>-1.999999999999999E-2</v>
      </c>
      <c r="J31" s="1">
        <f>'[1]Owned Semen'!K27-J30</f>
        <v>-4.9999999999999989E-2</v>
      </c>
      <c r="K31" s="1">
        <f>'[1]Owned Semen'!L27-K30</f>
        <v>-2.0000000000000004E-2</v>
      </c>
      <c r="L31" s="1">
        <f>'[1]Owned Semen'!M27-L30</f>
        <v>-3.999999999999998E-2</v>
      </c>
      <c r="M31" s="1">
        <f>'[1]Owned Semen'!N27-M30</f>
        <v>-4.9999999999999989E-2</v>
      </c>
      <c r="N31" s="1">
        <f>'[1]Owned Semen'!O27-N30</f>
        <v>-2.0000000000000018E-2</v>
      </c>
      <c r="O31" s="1">
        <f>'[1]Owned Semen'!P27-O30</f>
        <v>-4.0000000000000036E-2</v>
      </c>
      <c r="P31" s="1">
        <f>'[1]Owned Semen'!Q27-P30</f>
        <v>-0.06</v>
      </c>
      <c r="Q31" s="1">
        <f>'[1]Owned Semen'!R27-Q30</f>
        <v>-1.0000000000000009E-2</v>
      </c>
      <c r="R31" s="1">
        <f>'[1]Owned Semen'!S27-R30</f>
        <v>0</v>
      </c>
      <c r="S31" s="1">
        <f>'[1]Owned Semen'!T27-S30</f>
        <v>-9.9999999999999992E-2</v>
      </c>
      <c r="T31" s="1">
        <f>'[1]Owned Semen'!U27-T30</f>
        <v>1.0000000000000002E-2</v>
      </c>
      <c r="U31" s="1">
        <f>'[1]Owned Semen'!V27-U30</f>
        <v>-9.999999999999995E-3</v>
      </c>
      <c r="V31" s="1">
        <f>'[1]Owned Semen'!W27-V30</f>
        <v>2.0000000000000004E-2</v>
      </c>
      <c r="W31" s="1">
        <f>'[1]Owned Semen'!X27-W30</f>
        <v>-2.0000000000000018E-2</v>
      </c>
      <c r="X31" s="1">
        <f>'[1]Owned Semen'!Y27-X30</f>
        <v>1.999999999999999E-2</v>
      </c>
      <c r="Y31" s="1">
        <f>'[1]Owned Semen'!Z27-Y30</f>
        <v>3.999999999999998E-2</v>
      </c>
    </row>
    <row r="33" spans="1:25" x14ac:dyDescent="0.2">
      <c r="A33">
        <v>4276203</v>
      </c>
      <c r="B33" t="s">
        <v>26</v>
      </c>
      <c r="C33" t="s">
        <v>70</v>
      </c>
      <c r="D33" t="s">
        <v>319</v>
      </c>
      <c r="E33" t="s">
        <v>320</v>
      </c>
      <c r="F33" t="s">
        <v>321</v>
      </c>
      <c r="G33">
        <v>189</v>
      </c>
      <c r="H33">
        <v>98</v>
      </c>
      <c r="I33">
        <v>91</v>
      </c>
      <c r="J33">
        <v>19</v>
      </c>
      <c r="K33">
        <v>-5.6</v>
      </c>
      <c r="L33">
        <v>56</v>
      </c>
      <c r="M33">
        <v>99</v>
      </c>
      <c r="N33">
        <v>0.27</v>
      </c>
      <c r="O33">
        <v>0.51</v>
      </c>
      <c r="P33">
        <v>34</v>
      </c>
      <c r="Q33">
        <v>3</v>
      </c>
      <c r="R33">
        <v>18</v>
      </c>
      <c r="S33">
        <v>12</v>
      </c>
      <c r="T33">
        <v>18</v>
      </c>
      <c r="U33">
        <v>0.7</v>
      </c>
      <c r="V33">
        <v>0.1</v>
      </c>
      <c r="W33">
        <v>31</v>
      </c>
      <c r="X33">
        <v>0.28999999999999998</v>
      </c>
      <c r="Y33">
        <v>0.04</v>
      </c>
    </row>
    <row r="34" spans="1:25" x14ac:dyDescent="0.2">
      <c r="G34" s="1">
        <v>0.02</v>
      </c>
      <c r="H34" s="1">
        <v>0.03</v>
      </c>
      <c r="I34" s="1">
        <v>7.0000000000000007E-2</v>
      </c>
      <c r="J34" s="1">
        <v>0.09</v>
      </c>
      <c r="K34" s="1">
        <v>0.05</v>
      </c>
      <c r="L34" s="1">
        <v>0.86</v>
      </c>
      <c r="M34" s="1">
        <v>0.68</v>
      </c>
      <c r="N34" s="1">
        <v>0.39</v>
      </c>
      <c r="O34" s="1">
        <v>0.31</v>
      </c>
      <c r="P34" s="1">
        <v>0.05</v>
      </c>
      <c r="Q34" s="1">
        <v>0.42</v>
      </c>
      <c r="R34" s="1">
        <v>0.02</v>
      </c>
      <c r="S34" s="1">
        <v>0.01</v>
      </c>
      <c r="T34" s="1">
        <v>0.2</v>
      </c>
      <c r="U34" s="1">
        <v>0.16</v>
      </c>
      <c r="V34" s="1">
        <v>0.69</v>
      </c>
      <c r="W34" s="1">
        <v>0.28000000000000003</v>
      </c>
      <c r="X34" s="1">
        <v>0.24</v>
      </c>
      <c r="Y34" s="1">
        <v>0.89</v>
      </c>
    </row>
    <row r="35" spans="1:25" x14ac:dyDescent="0.2">
      <c r="F35" t="s">
        <v>373</v>
      </c>
      <c r="G35" s="1">
        <f>'[1]Owned Semen'!H30-G34</f>
        <v>-0.01</v>
      </c>
      <c r="H35" s="1">
        <f>'[1]Owned Semen'!I30-H34</f>
        <v>0</v>
      </c>
      <c r="I35" s="1">
        <f>'[1]Owned Semen'!J30-I34</f>
        <v>-1.0000000000000009E-2</v>
      </c>
      <c r="J35" s="1">
        <f>'[1]Owned Semen'!K30-J34</f>
        <v>-0.06</v>
      </c>
      <c r="K35" s="1">
        <f>'[1]Owned Semen'!L30-K34</f>
        <v>-1.0000000000000002E-2</v>
      </c>
      <c r="L35" s="1">
        <f>'[1]Owned Semen'!M30-L34</f>
        <v>-1.0000000000000009E-2</v>
      </c>
      <c r="M35" s="1">
        <f>'[1]Owned Semen'!N30-M34</f>
        <v>-2.0000000000000018E-2</v>
      </c>
      <c r="N35" s="1">
        <f>'[1]Owned Semen'!O30-N34</f>
        <v>-2.0000000000000018E-2</v>
      </c>
      <c r="O35" s="1">
        <f>'[1]Owned Semen'!P30-O34</f>
        <v>9.9999999999999978E-2</v>
      </c>
      <c r="P35" s="1">
        <f>'[1]Owned Semen'!Q30-P34</f>
        <v>9.999999999999995E-3</v>
      </c>
      <c r="Q35" s="1">
        <f>'[1]Owned Semen'!R30-Q34</f>
        <v>7.0000000000000007E-2</v>
      </c>
      <c r="R35" s="1">
        <f>'[1]Owned Semen'!S30-R34</f>
        <v>0</v>
      </c>
      <c r="S35" s="1">
        <f>'[1]Owned Semen'!T30-S34</f>
        <v>0</v>
      </c>
      <c r="T35" s="1">
        <f>'[1]Owned Semen'!U30-T34</f>
        <v>-0.03</v>
      </c>
      <c r="U35" s="1">
        <f>'[1]Owned Semen'!V30-U34</f>
        <v>-1.999999999999999E-2</v>
      </c>
      <c r="V35" s="1">
        <f>'[1]Owned Semen'!W30-V34</f>
        <v>5.0000000000000044E-2</v>
      </c>
      <c r="W35" s="1">
        <f>'[1]Owned Semen'!X30-W34</f>
        <v>-4.0000000000000036E-2</v>
      </c>
      <c r="X35" s="1">
        <f>'[1]Owned Semen'!Y30-X34</f>
        <v>-0.06</v>
      </c>
      <c r="Y35" s="1">
        <f>'[1]Owned Semen'!Z30-Y34</f>
        <v>5.9999999999999942E-2</v>
      </c>
    </row>
    <row r="37" spans="1:25" x14ac:dyDescent="0.2">
      <c r="A37">
        <v>4303789</v>
      </c>
      <c r="B37" t="s">
        <v>26</v>
      </c>
      <c r="C37" t="s">
        <v>70</v>
      </c>
      <c r="D37" t="s">
        <v>287</v>
      </c>
      <c r="E37" t="s">
        <v>288</v>
      </c>
      <c r="F37" t="s">
        <v>289</v>
      </c>
      <c r="G37">
        <v>190</v>
      </c>
      <c r="H37">
        <v>105</v>
      </c>
      <c r="I37">
        <v>85</v>
      </c>
      <c r="J37">
        <v>18</v>
      </c>
      <c r="K37">
        <v>-5.9</v>
      </c>
      <c r="L37">
        <v>67</v>
      </c>
      <c r="M37">
        <v>107</v>
      </c>
      <c r="N37">
        <v>0.25</v>
      </c>
      <c r="O37">
        <v>0.88</v>
      </c>
      <c r="P37">
        <v>25</v>
      </c>
      <c r="Q37">
        <v>-4</v>
      </c>
      <c r="R37">
        <v>10</v>
      </c>
      <c r="S37">
        <v>10</v>
      </c>
      <c r="T37">
        <v>22</v>
      </c>
      <c r="U37">
        <v>1.1499999999999999</v>
      </c>
      <c r="V37">
        <v>0.09</v>
      </c>
      <c r="W37">
        <v>18</v>
      </c>
      <c r="X37">
        <v>0.21</v>
      </c>
      <c r="Y37">
        <v>0.05</v>
      </c>
    </row>
    <row r="38" spans="1:25" x14ac:dyDescent="0.2">
      <c r="G38" s="1">
        <v>0.02</v>
      </c>
      <c r="H38" s="1">
        <v>0.02</v>
      </c>
      <c r="I38" s="1">
        <v>0.1</v>
      </c>
      <c r="J38" s="1">
        <v>0.13</v>
      </c>
      <c r="K38" s="1">
        <v>0.03</v>
      </c>
      <c r="L38" s="1">
        <v>0.52</v>
      </c>
      <c r="M38" s="1">
        <v>0.52</v>
      </c>
      <c r="N38" s="1">
        <v>0.51</v>
      </c>
      <c r="O38" s="1">
        <v>0.65</v>
      </c>
      <c r="P38" s="1">
        <v>0.59</v>
      </c>
      <c r="Q38" s="1">
        <v>0.14000000000000001</v>
      </c>
      <c r="R38" s="1">
        <v>0.79</v>
      </c>
      <c r="S38" s="1">
        <v>7.0000000000000007E-2</v>
      </c>
      <c r="T38" s="1">
        <v>0.02</v>
      </c>
      <c r="U38" s="1">
        <v>0.01</v>
      </c>
      <c r="V38" s="1">
        <v>0.63</v>
      </c>
      <c r="W38" s="1">
        <v>0.65</v>
      </c>
      <c r="X38" s="1">
        <v>0.34</v>
      </c>
      <c r="Y38" s="1">
        <v>0.93</v>
      </c>
    </row>
    <row r="39" spans="1:25" x14ac:dyDescent="0.2">
      <c r="F39" t="s">
        <v>373</v>
      </c>
      <c r="G39" s="1">
        <f>'[1]Owned Semen'!H33-G38</f>
        <v>-0.01</v>
      </c>
      <c r="H39" s="1">
        <f>'[1]Owned Semen'!I33-H38</f>
        <v>-0.01</v>
      </c>
      <c r="I39" s="1">
        <f>'[1]Owned Semen'!J33-I38</f>
        <v>-6.0000000000000005E-2</v>
      </c>
      <c r="J39" s="1">
        <f>'[1]Owned Semen'!K33-J38</f>
        <v>-7.0000000000000007E-2</v>
      </c>
      <c r="K39" s="1">
        <f>'[1]Owned Semen'!L33-K38</f>
        <v>1.0000000000000002E-2</v>
      </c>
      <c r="L39" s="1">
        <f>'[1]Owned Semen'!M33-L38</f>
        <v>-7.0000000000000007E-2</v>
      </c>
      <c r="M39" s="1">
        <f>'[1]Owned Semen'!N33-M38</f>
        <v>-0.12</v>
      </c>
      <c r="N39" s="1">
        <f>'[1]Owned Semen'!O33-N38</f>
        <v>-0.15000000000000002</v>
      </c>
      <c r="O39" s="1">
        <f>'[1]Owned Semen'!P33-O38</f>
        <v>0.14000000000000001</v>
      </c>
      <c r="P39" s="1">
        <f>'[1]Owned Semen'!Q33-P38</f>
        <v>4.0000000000000036E-2</v>
      </c>
      <c r="Q39" s="1">
        <f>'[1]Owned Semen'!R33-Q38</f>
        <v>0</v>
      </c>
      <c r="R39" s="1">
        <f>'[1]Owned Semen'!S33-R38</f>
        <v>-0.22000000000000008</v>
      </c>
      <c r="S39" s="1">
        <f>'[1]Owned Semen'!T33-S38</f>
        <v>-2.0000000000000004E-2</v>
      </c>
      <c r="T39" s="1">
        <f>'[1]Owned Semen'!U33-T38</f>
        <v>-0.01</v>
      </c>
      <c r="U39" s="1">
        <f>'[1]Owned Semen'!V33-U38</f>
        <v>0</v>
      </c>
      <c r="V39" s="1">
        <f>'[1]Owned Semen'!W33-V38</f>
        <v>-0.21000000000000002</v>
      </c>
      <c r="W39" s="1">
        <f>'[1]Owned Semen'!X33-W38</f>
        <v>-0.17000000000000004</v>
      </c>
      <c r="X39" s="1">
        <f>'[1]Owned Semen'!Y33-X38</f>
        <v>-0.18000000000000002</v>
      </c>
      <c r="Y39" s="1">
        <f>'[1]Owned Semen'!Z33-Y38</f>
        <v>-6.0000000000000053E-2</v>
      </c>
    </row>
    <row r="41" spans="1:25" x14ac:dyDescent="0.2">
      <c r="A41">
        <v>4611889</v>
      </c>
      <c r="B41" t="s">
        <v>26</v>
      </c>
      <c r="C41" t="s">
        <v>70</v>
      </c>
      <c r="D41" t="s">
        <v>71</v>
      </c>
      <c r="E41" t="s">
        <v>72</v>
      </c>
      <c r="F41" t="s">
        <v>73</v>
      </c>
      <c r="G41">
        <v>170</v>
      </c>
      <c r="H41">
        <v>95</v>
      </c>
      <c r="I41">
        <v>74</v>
      </c>
      <c r="J41">
        <v>19</v>
      </c>
      <c r="K41">
        <v>-5.4</v>
      </c>
      <c r="L41">
        <v>60</v>
      </c>
      <c r="M41">
        <v>97</v>
      </c>
      <c r="N41">
        <v>0.23</v>
      </c>
      <c r="O41">
        <v>0.35</v>
      </c>
      <c r="P41">
        <v>31</v>
      </c>
      <c r="Q41">
        <v>-3</v>
      </c>
      <c r="R41">
        <v>16</v>
      </c>
      <c r="S41">
        <v>10</v>
      </c>
      <c r="T41">
        <v>18</v>
      </c>
      <c r="U41">
        <v>0.77</v>
      </c>
      <c r="V41">
        <v>0.02</v>
      </c>
      <c r="W41">
        <v>14</v>
      </c>
      <c r="X41">
        <v>0.32</v>
      </c>
      <c r="Y41">
        <v>0.04</v>
      </c>
    </row>
    <row r="42" spans="1:25" x14ac:dyDescent="0.2">
      <c r="G42" s="1">
        <v>0.04</v>
      </c>
      <c r="H42" s="1">
        <v>0.04</v>
      </c>
      <c r="I42" s="1">
        <v>0.19</v>
      </c>
      <c r="J42" s="1">
        <v>0.09</v>
      </c>
      <c r="K42" s="1">
        <v>0.05</v>
      </c>
      <c r="L42" s="1">
        <v>0.75</v>
      </c>
      <c r="M42" s="1">
        <v>0.7</v>
      </c>
      <c r="N42" s="1">
        <v>0.62</v>
      </c>
      <c r="O42" s="1">
        <v>0.19</v>
      </c>
      <c r="P42" s="1">
        <v>0.17</v>
      </c>
      <c r="Q42" s="1">
        <v>0.17</v>
      </c>
      <c r="R42" s="1">
        <v>7.0000000000000007E-2</v>
      </c>
      <c r="S42" s="1">
        <v>0.08</v>
      </c>
      <c r="T42" s="1">
        <v>0.18</v>
      </c>
      <c r="U42" s="1">
        <v>0.11</v>
      </c>
      <c r="V42" s="1">
        <v>0.32</v>
      </c>
      <c r="W42" s="1">
        <v>0.76</v>
      </c>
      <c r="X42" s="1">
        <v>0.2</v>
      </c>
      <c r="Y42" s="1">
        <v>0.88</v>
      </c>
    </row>
    <row r="43" spans="1:25" x14ac:dyDescent="0.2">
      <c r="F43" t="s">
        <v>373</v>
      </c>
      <c r="G43" s="1">
        <f>[1]Bulls!J7-G42</f>
        <v>1.0000000000000002E-2</v>
      </c>
      <c r="H43" s="1">
        <f>[1]Bulls!K7-H42</f>
        <v>1.9999999999999997E-2</v>
      </c>
      <c r="I43" s="1">
        <f>[1]Bulls!L7-I42</f>
        <v>0</v>
      </c>
      <c r="J43" s="1">
        <f>[1]Bulls!M7-J42</f>
        <v>0</v>
      </c>
      <c r="K43" s="1">
        <f>[1]Bulls!N7-K42</f>
        <v>9.999999999999995E-3</v>
      </c>
      <c r="L43" s="1">
        <f>[1]Bulls!O7-L42</f>
        <v>-1.0000000000000009E-2</v>
      </c>
      <c r="M43" s="1">
        <f>[1]Bulls!P7-M42</f>
        <v>0</v>
      </c>
      <c r="N43" s="1">
        <f>[1]Bulls!Q7-N42</f>
        <v>0</v>
      </c>
      <c r="O43" s="1">
        <f>[1]Bulls!R7-O42</f>
        <v>0.15000000000000002</v>
      </c>
      <c r="P43" s="1">
        <f>[1]Bulls!S7-P42</f>
        <v>9.9999999999999811E-3</v>
      </c>
      <c r="Q43" s="1">
        <f>[1]Bulls!T7-Q42</f>
        <v>0.27</v>
      </c>
      <c r="R43" s="1">
        <f>[1]Bulls!U7-R42</f>
        <v>-2.0000000000000004E-2</v>
      </c>
      <c r="S43" s="1">
        <f>[1]Bulls!V7-S42</f>
        <v>-9.999999999999995E-3</v>
      </c>
      <c r="T43" s="1">
        <f>[1]Bulls!W7-T42</f>
        <v>-0.03</v>
      </c>
      <c r="U43" s="1">
        <f>[1]Bulls!X7-U42</f>
        <v>-2.0000000000000004E-2</v>
      </c>
      <c r="V43" s="1">
        <f>[1]Bulls!Y7-V42</f>
        <v>0.12</v>
      </c>
      <c r="W43" s="1">
        <f>[1]Bulls!Z7-W42</f>
        <v>-5.0000000000000044E-2</v>
      </c>
      <c r="X43" s="1">
        <f>[1]Bulls!AA7-X42</f>
        <v>0.06</v>
      </c>
      <c r="Y43" s="1">
        <f>[1]Bulls!AB7-Y42</f>
        <v>0</v>
      </c>
    </row>
    <row r="45" spans="1:25" x14ac:dyDescent="0.2">
      <c r="A45">
        <v>4615573</v>
      </c>
      <c r="B45" t="s">
        <v>26</v>
      </c>
      <c r="C45" t="s">
        <v>70</v>
      </c>
      <c r="D45" t="s">
        <v>322</v>
      </c>
      <c r="E45" t="s">
        <v>323</v>
      </c>
      <c r="F45" t="s">
        <v>324</v>
      </c>
      <c r="G45">
        <v>202</v>
      </c>
      <c r="H45">
        <v>92</v>
      </c>
      <c r="I45">
        <v>109</v>
      </c>
      <c r="J45">
        <v>20</v>
      </c>
      <c r="K45">
        <v>-5.9</v>
      </c>
      <c r="L45">
        <v>59</v>
      </c>
      <c r="M45">
        <v>96</v>
      </c>
      <c r="N45">
        <v>0.23</v>
      </c>
      <c r="O45">
        <v>0.38</v>
      </c>
      <c r="P45">
        <v>27</v>
      </c>
      <c r="Q45">
        <v>9</v>
      </c>
      <c r="R45">
        <v>16</v>
      </c>
      <c r="S45">
        <v>11</v>
      </c>
      <c r="T45">
        <v>20</v>
      </c>
      <c r="U45">
        <v>1.23</v>
      </c>
      <c r="V45">
        <v>0.06</v>
      </c>
      <c r="W45">
        <v>26</v>
      </c>
      <c r="X45">
        <v>0.5</v>
      </c>
      <c r="Y45">
        <v>0.06</v>
      </c>
    </row>
    <row r="46" spans="1:25" x14ac:dyDescent="0.2">
      <c r="G46" s="1">
        <v>0.01</v>
      </c>
      <c r="H46" s="1">
        <v>0.05</v>
      </c>
      <c r="I46" s="1">
        <v>0.02</v>
      </c>
      <c r="J46" s="1">
        <v>0.04</v>
      </c>
      <c r="K46" s="1">
        <v>0.03</v>
      </c>
      <c r="L46" s="1">
        <v>0.78</v>
      </c>
      <c r="M46" s="1">
        <v>0.72</v>
      </c>
      <c r="N46" s="1">
        <v>0.63</v>
      </c>
      <c r="O46" s="1">
        <v>0.21</v>
      </c>
      <c r="P46" s="1">
        <v>0.46</v>
      </c>
      <c r="Q46" s="1">
        <v>0.74</v>
      </c>
      <c r="R46" s="1">
        <v>0.09</v>
      </c>
      <c r="S46" s="1">
        <v>0.03</v>
      </c>
      <c r="T46" s="1">
        <v>0.06</v>
      </c>
      <c r="U46" s="1">
        <v>0.01</v>
      </c>
      <c r="V46" s="1">
        <v>0.5</v>
      </c>
      <c r="W46" s="1">
        <v>0.4</v>
      </c>
      <c r="X46" s="1">
        <v>0.09</v>
      </c>
      <c r="Y46" s="1">
        <v>0.98</v>
      </c>
    </row>
    <row r="47" spans="1:25" x14ac:dyDescent="0.2">
      <c r="F47" t="s">
        <v>373</v>
      </c>
      <c r="G47" s="1">
        <f>'[1]Owned Semen'!H39-G46</f>
        <v>0</v>
      </c>
      <c r="H47" s="1">
        <f>'[1]Owned Semen'!I39-H46</f>
        <v>9.999999999999995E-3</v>
      </c>
      <c r="I47" s="1">
        <f>'[1]Owned Semen'!J39-I46</f>
        <v>9.9999999999999985E-3</v>
      </c>
      <c r="J47" s="1">
        <f>'[1]Owned Semen'!K39-J46</f>
        <v>6.0000000000000005E-2</v>
      </c>
      <c r="K47" s="1">
        <f>'[1]Owned Semen'!L39-K46</f>
        <v>4.0000000000000008E-2</v>
      </c>
      <c r="L47" s="1">
        <f>'[1]Owned Semen'!M39-L46</f>
        <v>-0.14000000000000001</v>
      </c>
      <c r="M47" s="1">
        <f>'[1]Owned Semen'!N39-M46</f>
        <v>-0.15999999999999992</v>
      </c>
      <c r="N47" s="1">
        <f>'[1]Owned Semen'!O39-N46</f>
        <v>-0.16999999999999998</v>
      </c>
      <c r="O47" s="1">
        <f>'[1]Owned Semen'!P39-O46</f>
        <v>6.0000000000000026E-2</v>
      </c>
      <c r="P47" s="1">
        <f>'[1]Owned Semen'!Q39-P46</f>
        <v>0.18</v>
      </c>
      <c r="Q47" s="1">
        <f>'[1]Owned Semen'!R39-Q46</f>
        <v>-5.9999999999999942E-2</v>
      </c>
      <c r="R47" s="1">
        <f>'[1]Owned Semen'!S39-R46</f>
        <v>1.0000000000000009E-2</v>
      </c>
      <c r="S47" s="1">
        <f>'[1]Owned Semen'!T39-S46</f>
        <v>7.0000000000000007E-2</v>
      </c>
      <c r="T47" s="1">
        <f>'[1]Owned Semen'!U39-T46</f>
        <v>2.0000000000000004E-2</v>
      </c>
      <c r="U47" s="1">
        <f>'[1]Owned Semen'!V39-U46</f>
        <v>0</v>
      </c>
      <c r="V47" s="1">
        <f>'[1]Owned Semen'!W39-V46</f>
        <v>-0.13</v>
      </c>
      <c r="W47" s="1">
        <f>'[1]Owned Semen'!X39-W46</f>
        <v>7.999999999999996E-2</v>
      </c>
      <c r="X47" s="1">
        <f>'[1]Owned Semen'!Y39-X46</f>
        <v>-0.03</v>
      </c>
      <c r="Y47" s="1">
        <f>'[1]Owned Semen'!Z39-Y46</f>
        <v>0</v>
      </c>
    </row>
    <row r="49" spans="1:25" x14ac:dyDescent="0.2">
      <c r="A49">
        <v>4944456</v>
      </c>
      <c r="B49" t="s">
        <v>26</v>
      </c>
      <c r="C49" t="s">
        <v>70</v>
      </c>
      <c r="D49" t="s">
        <v>326</v>
      </c>
      <c r="E49" t="s">
        <v>327</v>
      </c>
      <c r="F49" t="s">
        <v>328</v>
      </c>
      <c r="G49">
        <v>170</v>
      </c>
      <c r="H49">
        <v>78</v>
      </c>
      <c r="I49">
        <v>91</v>
      </c>
      <c r="J49">
        <v>13</v>
      </c>
      <c r="K49">
        <v>-4.4000000000000004</v>
      </c>
      <c r="L49">
        <v>79</v>
      </c>
      <c r="M49">
        <v>127</v>
      </c>
      <c r="N49">
        <v>0.3</v>
      </c>
      <c r="O49">
        <v>0.85</v>
      </c>
      <c r="P49">
        <v>26</v>
      </c>
      <c r="Q49">
        <v>17</v>
      </c>
      <c r="R49">
        <v>16</v>
      </c>
      <c r="S49">
        <v>6</v>
      </c>
      <c r="T49">
        <v>20</v>
      </c>
      <c r="U49">
        <v>0.72</v>
      </c>
      <c r="V49">
        <v>0.03</v>
      </c>
      <c r="W49">
        <v>43</v>
      </c>
      <c r="X49">
        <v>0.34</v>
      </c>
      <c r="Y49">
        <v>0</v>
      </c>
    </row>
    <row r="50" spans="1:25" x14ac:dyDescent="0.2">
      <c r="G50" s="1">
        <v>0.02</v>
      </c>
      <c r="H50" s="1">
        <v>0.12</v>
      </c>
      <c r="I50" s="1">
        <v>0.03</v>
      </c>
      <c r="J50" s="1">
        <v>0.52</v>
      </c>
      <c r="K50" s="1">
        <v>0.11</v>
      </c>
      <c r="L50" s="1">
        <v>0.14000000000000001</v>
      </c>
      <c r="M50" s="1">
        <v>0.15</v>
      </c>
      <c r="N50" s="1">
        <v>0.19</v>
      </c>
      <c r="O50" s="1">
        <v>0.67</v>
      </c>
      <c r="P50" s="1">
        <v>0.53</v>
      </c>
      <c r="Q50" s="1">
        <v>0.96</v>
      </c>
      <c r="R50" s="1">
        <v>0.05</v>
      </c>
      <c r="S50" s="1">
        <v>0.65</v>
      </c>
      <c r="T50" s="1">
        <v>0.05</v>
      </c>
      <c r="U50" s="1">
        <v>0.13</v>
      </c>
      <c r="V50" s="1">
        <v>0.36</v>
      </c>
      <c r="W50" s="1">
        <v>0.05</v>
      </c>
      <c r="X50" s="1">
        <v>0.13</v>
      </c>
      <c r="Y50" s="1">
        <v>0.23</v>
      </c>
    </row>
    <row r="51" spans="1:25" x14ac:dyDescent="0.2">
      <c r="F51" t="s">
        <v>373</v>
      </c>
      <c r="G51" s="1">
        <f>[1]Bulls!J10-G50</f>
        <v>0</v>
      </c>
      <c r="H51" s="1">
        <f>[1]Bulls!K10-H50</f>
        <v>2.0000000000000018E-2</v>
      </c>
      <c r="I51" s="1">
        <f>[1]Bulls!L10-I50</f>
        <v>0</v>
      </c>
      <c r="J51" s="1">
        <f>[1]Bulls!M10-J50</f>
        <v>-2.0000000000000018E-2</v>
      </c>
      <c r="K51" s="1">
        <f>[1]Bulls!N10-K50</f>
        <v>0</v>
      </c>
      <c r="L51" s="1">
        <f>[1]Bulls!O10-L50</f>
        <v>-4.0000000000000008E-2</v>
      </c>
      <c r="M51" s="1">
        <f>[1]Bulls!P10-M50</f>
        <v>-1.999999999999999E-2</v>
      </c>
      <c r="N51" s="1">
        <f>[1]Bulls!Q10-N50</f>
        <v>1.0000000000000009E-2</v>
      </c>
      <c r="O51" s="1">
        <f>[1]Bulls!R10-O50</f>
        <v>0</v>
      </c>
      <c r="P51" s="1">
        <f>[1]Bulls!S10-P50</f>
        <v>-4.0000000000000036E-2</v>
      </c>
      <c r="Q51" s="1">
        <f>[1]Bulls!T10-Q50</f>
        <v>1.0000000000000009E-2</v>
      </c>
      <c r="R51" s="1">
        <f>[1]Bulls!U10-R50</f>
        <v>0.18</v>
      </c>
      <c r="S51" s="1">
        <f>[1]Bulls!V10-S50</f>
        <v>3.9999999999999925E-2</v>
      </c>
      <c r="T51" s="1">
        <f>[1]Bulls!W10-T50</f>
        <v>-2.0000000000000004E-2</v>
      </c>
      <c r="U51" s="1">
        <f>[1]Bulls!X10-U50</f>
        <v>-0.03</v>
      </c>
      <c r="V51" s="1">
        <f>[1]Bulls!Y10-V50</f>
        <v>1.0000000000000009E-2</v>
      </c>
      <c r="W51" s="1">
        <f>[1]Bulls!Z10-W50</f>
        <v>0</v>
      </c>
      <c r="X51" s="1">
        <f>[1]Bulls!AA10-X50</f>
        <v>4.0000000000000008E-2</v>
      </c>
      <c r="Y51" s="1">
        <f>[1]Bulls!AB10-Y50</f>
        <v>-4.0000000000000008E-2</v>
      </c>
    </row>
    <row r="53" spans="1:25" x14ac:dyDescent="0.2">
      <c r="A53">
        <v>5038727</v>
      </c>
      <c r="B53" t="s">
        <v>26</v>
      </c>
      <c r="C53" t="s">
        <v>70</v>
      </c>
      <c r="D53" t="s">
        <v>329</v>
      </c>
      <c r="E53" t="s">
        <v>330</v>
      </c>
      <c r="F53" t="s">
        <v>331</v>
      </c>
      <c r="G53">
        <v>209</v>
      </c>
      <c r="H53">
        <v>105</v>
      </c>
      <c r="I53">
        <v>104</v>
      </c>
      <c r="J53">
        <v>18</v>
      </c>
      <c r="K53">
        <v>-3.9</v>
      </c>
      <c r="L53">
        <v>70</v>
      </c>
      <c r="M53">
        <v>114</v>
      </c>
      <c r="N53">
        <v>0.27</v>
      </c>
      <c r="O53">
        <v>0.3</v>
      </c>
      <c r="P53">
        <v>31</v>
      </c>
      <c r="Q53">
        <v>7</v>
      </c>
      <c r="R53">
        <v>18</v>
      </c>
      <c r="S53">
        <v>9</v>
      </c>
      <c r="T53">
        <v>21</v>
      </c>
      <c r="U53">
        <v>0.91</v>
      </c>
      <c r="V53">
        <v>0.13</v>
      </c>
      <c r="W53">
        <v>38</v>
      </c>
      <c r="X53">
        <v>0.33</v>
      </c>
      <c r="Y53">
        <v>0.05</v>
      </c>
    </row>
    <row r="54" spans="1:25" x14ac:dyDescent="0.2">
      <c r="G54" s="1">
        <v>0.01</v>
      </c>
      <c r="H54" s="1">
        <v>0.01</v>
      </c>
      <c r="I54" s="1">
        <v>0.01</v>
      </c>
      <c r="J54" s="1">
        <v>0.11</v>
      </c>
      <c r="K54" s="1">
        <v>0.16</v>
      </c>
      <c r="L54" s="1">
        <v>0.38</v>
      </c>
      <c r="M54" s="1">
        <v>0.35</v>
      </c>
      <c r="N54" s="1">
        <v>0.32</v>
      </c>
      <c r="O54" s="1">
        <v>0.11</v>
      </c>
      <c r="P54" s="1">
        <v>0.12</v>
      </c>
      <c r="Q54" s="1">
        <v>0.7</v>
      </c>
      <c r="R54" s="1">
        <v>0.01</v>
      </c>
      <c r="S54" s="1">
        <v>0.15</v>
      </c>
      <c r="T54" s="1">
        <v>0.02</v>
      </c>
      <c r="U54" s="1">
        <v>0.03</v>
      </c>
      <c r="V54" s="1">
        <v>0.85</v>
      </c>
      <c r="W54" s="1">
        <v>0.1</v>
      </c>
      <c r="X54" s="1">
        <v>0.14000000000000001</v>
      </c>
      <c r="Y54" s="1">
        <v>0.96</v>
      </c>
    </row>
    <row r="55" spans="1:25" x14ac:dyDescent="0.2">
      <c r="F55" t="s">
        <v>373</v>
      </c>
      <c r="G55" s="1">
        <f>'[1]Owned Semen'!H36-G54</f>
        <v>0</v>
      </c>
      <c r="H55" s="1">
        <f>'[1]Owned Semen'!I36-H54</f>
        <v>7.0000000000000007E-2</v>
      </c>
      <c r="I55" s="1">
        <f>'[1]Owned Semen'!J36-I54</f>
        <v>0</v>
      </c>
      <c r="J55" s="1">
        <f>'[1]Owned Semen'!K36-J54</f>
        <v>-7.0000000000000007E-2</v>
      </c>
      <c r="K55" s="1">
        <f>'[1]Owned Semen'!L36-K54</f>
        <v>1.999999999999999E-2</v>
      </c>
      <c r="L55" s="1">
        <f>'[1]Owned Semen'!M36-L54</f>
        <v>-9.9999999999999978E-2</v>
      </c>
      <c r="M55" s="1">
        <f>'[1]Owned Semen'!N36-M54</f>
        <v>0</v>
      </c>
      <c r="N55" s="1">
        <f>'[1]Owned Semen'!O36-N54</f>
        <v>0.13</v>
      </c>
      <c r="O55" s="1">
        <f>'[1]Owned Semen'!P36-O54</f>
        <v>-0.06</v>
      </c>
      <c r="P55" s="1">
        <f>'[1]Owned Semen'!Q36-P54</f>
        <v>-1.999999999999999E-2</v>
      </c>
      <c r="Q55" s="1">
        <f>'[1]Owned Semen'!R36-Q54</f>
        <v>0</v>
      </c>
      <c r="R55" s="1">
        <f>'[1]Owned Semen'!S36-R54</f>
        <v>0.15</v>
      </c>
      <c r="S55" s="1">
        <f>'[1]Owned Semen'!T36-S54</f>
        <v>7.0000000000000007E-2</v>
      </c>
      <c r="T55" s="1">
        <f>'[1]Owned Semen'!U36-T54</f>
        <v>3.9999999999999994E-2</v>
      </c>
      <c r="U55" s="1">
        <f>'[1]Owned Semen'!V36-U54</f>
        <v>-9.9999999999999985E-3</v>
      </c>
      <c r="V55" s="1">
        <f>'[1]Owned Semen'!W36-V54</f>
        <v>-0.13</v>
      </c>
      <c r="W55" s="1">
        <f>'[1]Owned Semen'!X36-W54</f>
        <v>4.0000000000000008E-2</v>
      </c>
      <c r="X55" s="1">
        <f>'[1]Owned Semen'!Y36-X54</f>
        <v>-3.0000000000000013E-2</v>
      </c>
      <c r="Y55" s="1">
        <f>'[1]Owned Semen'!Z36-Y54</f>
        <v>-2.9999999999999916E-2</v>
      </c>
    </row>
  </sheetData>
  <conditionalFormatting sqref="G18:Y18">
    <cfRule type="cellIs" dxfId="49" priority="52" operator="lessThan">
      <formula>0.16</formula>
    </cfRule>
    <cfRule type="cellIs" dxfId="48" priority="51" operator="greaterThan">
      <formula>0.84</formula>
    </cfRule>
  </conditionalFormatting>
  <conditionalFormatting sqref="G19:Y19">
    <cfRule type="cellIs" dxfId="47" priority="30" operator="lessThan">
      <formula>-0.05</formula>
    </cfRule>
    <cfRule type="cellIs" dxfId="46" priority="29" operator="greaterThan">
      <formula>0.03</formula>
    </cfRule>
    <cfRule type="cellIs" dxfId="45" priority="28" operator="greaterThan">
      <formula>0.05</formula>
    </cfRule>
  </conditionalFormatting>
  <conditionalFormatting sqref="G22:Y22">
    <cfRule type="cellIs" dxfId="44" priority="50" operator="lessThan">
      <formula>0.16</formula>
    </cfRule>
    <cfRule type="cellIs" dxfId="43" priority="49" operator="greaterThan">
      <formula>0.84</formula>
    </cfRule>
  </conditionalFormatting>
  <conditionalFormatting sqref="G23:Y23">
    <cfRule type="cellIs" dxfId="42" priority="26" operator="greaterThan">
      <formula>0.03</formula>
    </cfRule>
    <cfRule type="cellIs" dxfId="41" priority="27" operator="lessThan">
      <formula>-0.05</formula>
    </cfRule>
    <cfRule type="cellIs" dxfId="40" priority="25" operator="greaterThan">
      <formula>0.05</formula>
    </cfRule>
  </conditionalFormatting>
  <conditionalFormatting sqref="G26:Y26">
    <cfRule type="cellIs" dxfId="39" priority="47" operator="greaterThan">
      <formula>0.84</formula>
    </cfRule>
    <cfRule type="cellIs" dxfId="38" priority="48" operator="lessThan">
      <formula>0.16</formula>
    </cfRule>
  </conditionalFormatting>
  <conditionalFormatting sqref="G27:Y27">
    <cfRule type="cellIs" dxfId="37" priority="24" operator="lessThan">
      <formula>-0.05</formula>
    </cfRule>
    <cfRule type="cellIs" dxfId="36" priority="23" operator="greaterThan">
      <formula>0.03</formula>
    </cfRule>
    <cfRule type="cellIs" dxfId="35" priority="22" operator="greaterThan">
      <formula>0.05</formula>
    </cfRule>
  </conditionalFormatting>
  <conditionalFormatting sqref="G30:Y30">
    <cfRule type="cellIs" dxfId="34" priority="46" operator="lessThan">
      <formula>0.16</formula>
    </cfRule>
    <cfRule type="cellIs" dxfId="33" priority="45" operator="greaterThan">
      <formula>0.84</formula>
    </cfRule>
  </conditionalFormatting>
  <conditionalFormatting sqref="G31:Y31">
    <cfRule type="cellIs" dxfId="32" priority="21" operator="lessThan">
      <formula>-0.05</formula>
    </cfRule>
    <cfRule type="cellIs" dxfId="31" priority="19" operator="greaterThan">
      <formula>0.05</formula>
    </cfRule>
    <cfRule type="cellIs" dxfId="30" priority="20" operator="greaterThan">
      <formula>0.03</formula>
    </cfRule>
  </conditionalFormatting>
  <conditionalFormatting sqref="G34:Y34">
    <cfRule type="cellIs" dxfId="29" priority="44" operator="lessThan">
      <formula>0.16</formula>
    </cfRule>
    <cfRule type="cellIs" dxfId="28" priority="43" operator="greaterThan">
      <formula>0.84</formula>
    </cfRule>
  </conditionalFormatting>
  <conditionalFormatting sqref="G35:Y35">
    <cfRule type="cellIs" dxfId="27" priority="18" operator="lessThan">
      <formula>-0.05</formula>
    </cfRule>
    <cfRule type="cellIs" dxfId="26" priority="17" operator="greaterThan">
      <formula>0.03</formula>
    </cfRule>
    <cfRule type="cellIs" dxfId="25" priority="16" operator="greaterThan">
      <formula>0.05</formula>
    </cfRule>
  </conditionalFormatting>
  <conditionalFormatting sqref="G38:Y38">
    <cfRule type="cellIs" dxfId="24" priority="41" operator="greaterThan">
      <formula>0.84</formula>
    </cfRule>
    <cfRule type="cellIs" dxfId="23" priority="42" operator="lessThan">
      <formula>0.16</formula>
    </cfRule>
  </conditionalFormatting>
  <conditionalFormatting sqref="G39:Y39">
    <cfRule type="cellIs" dxfId="22" priority="15" operator="lessThan">
      <formula>-0.05</formula>
    </cfRule>
    <cfRule type="cellIs" dxfId="21" priority="14" operator="greaterThan">
      <formula>0.03</formula>
    </cfRule>
    <cfRule type="cellIs" dxfId="20" priority="13" operator="greaterThan">
      <formula>0.05</formula>
    </cfRule>
  </conditionalFormatting>
  <conditionalFormatting sqref="G42:Y42">
    <cfRule type="cellIs" dxfId="19" priority="39" operator="greaterThan">
      <formula>0.84</formula>
    </cfRule>
    <cfRule type="cellIs" dxfId="18" priority="40" operator="lessThan">
      <formula>0.16</formula>
    </cfRule>
  </conditionalFormatting>
  <conditionalFormatting sqref="G43:Y43">
    <cfRule type="cellIs" dxfId="17" priority="12" operator="lessThan">
      <formula>-0.05</formula>
    </cfRule>
    <cfRule type="cellIs" dxfId="16" priority="11" operator="greaterThan">
      <formula>0.03</formula>
    </cfRule>
    <cfRule type="cellIs" dxfId="15" priority="10" operator="greaterThan">
      <formula>0.05</formula>
    </cfRule>
  </conditionalFormatting>
  <conditionalFormatting sqref="G46:Y46">
    <cfRule type="cellIs" dxfId="14" priority="37" operator="greaterThan">
      <formula>0.84</formula>
    </cfRule>
    <cfRule type="cellIs" dxfId="13" priority="38" operator="lessThan">
      <formula>0.16</formula>
    </cfRule>
  </conditionalFormatting>
  <conditionalFormatting sqref="G47:Y47">
    <cfRule type="cellIs" dxfId="12" priority="7" operator="greaterThan">
      <formula>0.05</formula>
    </cfRule>
    <cfRule type="cellIs" dxfId="11" priority="9" operator="lessThan">
      <formula>-0.05</formula>
    </cfRule>
    <cfRule type="cellIs" dxfId="10" priority="8" operator="greaterThan">
      <formula>0.03</formula>
    </cfRule>
  </conditionalFormatting>
  <conditionalFormatting sqref="G50:Y50">
    <cfRule type="cellIs" dxfId="9" priority="33" operator="greaterThan">
      <formula>0.84</formula>
    </cfRule>
    <cfRule type="cellIs" dxfId="8" priority="34" operator="lessThan">
      <formula>0.16</formula>
    </cfRule>
  </conditionalFormatting>
  <conditionalFormatting sqref="G51:Y51">
    <cfRule type="cellIs" dxfId="7" priority="5" operator="greaterThan">
      <formula>0.03</formula>
    </cfRule>
    <cfRule type="cellIs" dxfId="6" priority="6" operator="lessThan">
      <formula>-0.05</formula>
    </cfRule>
    <cfRule type="cellIs" dxfId="5" priority="4" operator="greaterThan">
      <formula>0.05</formula>
    </cfRule>
  </conditionalFormatting>
  <conditionalFormatting sqref="G54:Y54">
    <cfRule type="cellIs" dxfId="4" priority="32" operator="lessThan">
      <formula>0.16</formula>
    </cfRule>
    <cfRule type="cellIs" dxfId="3" priority="31" operator="greaterThan">
      <formula>0.84</formula>
    </cfRule>
  </conditionalFormatting>
  <conditionalFormatting sqref="G55:Y55">
    <cfRule type="cellIs" dxfId="2" priority="3" operator="lessThan">
      <formula>-0.05</formula>
    </cfRule>
    <cfRule type="cellIs" dxfId="1" priority="2" operator="greaterThan">
      <formula>0.03</formula>
    </cfRule>
    <cfRule type="cellIs" dxfId="0" priority="1" operator="greaterThan">
      <formula>0.05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D8F9-46A6-1F4B-B1C4-79064E721E5B}">
  <dimension ref="A1:W70"/>
  <sheetViews>
    <sheetView workbookViewId="0">
      <pane ySplit="740" topLeftCell="A8" activePane="bottomLeft"/>
      <selection activeCell="F1" sqref="F1:F1048576"/>
      <selection pane="bottomLeft" activeCell="D24" sqref="D24"/>
    </sheetView>
  </sheetViews>
  <sheetFormatPr baseColWidth="10" defaultColWidth="8.83203125" defaultRowHeight="15" x14ac:dyDescent="0.2"/>
  <cols>
    <col min="1" max="1" width="7.6640625" bestFit="1" customWidth="1"/>
    <col min="2" max="2" width="4.5" bestFit="1" customWidth="1"/>
    <col min="3" max="3" width="13.5" bestFit="1" customWidth="1"/>
    <col min="4" max="4" width="56.83203125" bestFit="1" customWidth="1"/>
    <col min="5" max="5" width="6" bestFit="1" customWidth="1"/>
    <col min="6" max="6" width="4.83203125" bestFit="1" customWidth="1"/>
    <col min="7" max="8" width="4.6640625" bestFit="1" customWidth="1"/>
    <col min="9" max="9" width="4.5" bestFit="1" customWidth="1"/>
    <col min="10" max="11" width="5.1640625" bestFit="1" customWidth="1"/>
    <col min="12" max="12" width="6.33203125" customWidth="1"/>
    <col min="13" max="13" width="5.33203125" customWidth="1"/>
    <col min="14" max="15" width="5" bestFit="1" customWidth="1"/>
    <col min="16" max="17" width="5.6640625" bestFit="1" customWidth="1"/>
    <col min="18" max="18" width="5.83203125" bestFit="1" customWidth="1"/>
    <col min="19" max="19" width="6" customWidth="1"/>
    <col min="20" max="20" width="5.83203125" bestFit="1" customWidth="1"/>
    <col min="21" max="21" width="5.1640625" bestFit="1" customWidth="1"/>
    <col min="22" max="22" width="5.6640625" customWidth="1"/>
    <col min="23" max="23" width="7" customWidth="1"/>
  </cols>
  <sheetData>
    <row r="1" spans="1:23" x14ac:dyDescent="0.2">
      <c r="A1" t="s">
        <v>0</v>
      </c>
      <c r="B1" t="s">
        <v>2</v>
      </c>
      <c r="C1" t="s">
        <v>3</v>
      </c>
      <c r="D1" t="s">
        <v>4</v>
      </c>
      <c r="E1" t="s">
        <v>85</v>
      </c>
      <c r="F1" t="s">
        <v>8</v>
      </c>
      <c r="G1" t="s">
        <v>9</v>
      </c>
      <c r="H1" t="s">
        <v>86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87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88</v>
      </c>
    </row>
    <row r="2" spans="1:23" x14ac:dyDescent="0.2">
      <c r="A2" t="s">
        <v>89</v>
      </c>
      <c r="C2" t="s">
        <v>97</v>
      </c>
      <c r="D2" t="s">
        <v>98</v>
      </c>
      <c r="E2" s="4">
        <v>143</v>
      </c>
      <c r="F2" s="4">
        <v>95</v>
      </c>
      <c r="G2">
        <v>48</v>
      </c>
      <c r="H2">
        <v>17</v>
      </c>
      <c r="I2" s="4">
        <v>-4.5999999999999996</v>
      </c>
      <c r="J2">
        <v>70</v>
      </c>
      <c r="K2">
        <v>102</v>
      </c>
      <c r="L2">
        <v>0.2</v>
      </c>
      <c r="M2">
        <v>0.53</v>
      </c>
      <c r="N2">
        <v>27</v>
      </c>
      <c r="O2">
        <v>-1</v>
      </c>
      <c r="P2">
        <v>14</v>
      </c>
      <c r="Q2" s="4">
        <v>11</v>
      </c>
      <c r="R2">
        <v>18</v>
      </c>
      <c r="S2">
        <v>0.64</v>
      </c>
      <c r="T2">
        <v>0.06</v>
      </c>
      <c r="U2">
        <v>15</v>
      </c>
      <c r="V2">
        <v>0.01</v>
      </c>
      <c r="W2">
        <v>0.01</v>
      </c>
    </row>
    <row r="3" spans="1:23" x14ac:dyDescent="0.2">
      <c r="A3" t="s">
        <v>99</v>
      </c>
      <c r="C3" t="s">
        <v>100</v>
      </c>
      <c r="D3" t="s">
        <v>101</v>
      </c>
      <c r="E3">
        <v>140</v>
      </c>
      <c r="F3" s="4">
        <v>84</v>
      </c>
      <c r="G3">
        <v>57</v>
      </c>
      <c r="H3">
        <v>17</v>
      </c>
      <c r="I3" s="4">
        <v>-4.7</v>
      </c>
      <c r="J3">
        <v>62</v>
      </c>
      <c r="K3">
        <v>103</v>
      </c>
      <c r="L3">
        <v>0.25</v>
      </c>
      <c r="M3">
        <v>0.65</v>
      </c>
      <c r="N3">
        <v>29</v>
      </c>
      <c r="O3">
        <v>3</v>
      </c>
      <c r="P3">
        <v>15</v>
      </c>
      <c r="Q3" s="4">
        <v>11</v>
      </c>
      <c r="R3">
        <v>17</v>
      </c>
      <c r="S3">
        <v>0.46</v>
      </c>
      <c r="T3">
        <v>0.1</v>
      </c>
      <c r="U3">
        <v>24</v>
      </c>
      <c r="V3">
        <v>0.14000000000000001</v>
      </c>
      <c r="W3">
        <v>0.03</v>
      </c>
    </row>
    <row r="4" spans="1:23" x14ac:dyDescent="0.2">
      <c r="A4" t="s">
        <v>102</v>
      </c>
      <c r="C4" t="s">
        <v>103</v>
      </c>
      <c r="D4" t="s">
        <v>104</v>
      </c>
      <c r="E4" s="4">
        <v>152</v>
      </c>
      <c r="F4" s="4">
        <v>91</v>
      </c>
      <c r="G4">
        <v>62</v>
      </c>
      <c r="H4">
        <v>18</v>
      </c>
      <c r="I4" s="4">
        <v>-5.0999999999999996</v>
      </c>
      <c r="J4">
        <v>66</v>
      </c>
      <c r="K4">
        <v>102</v>
      </c>
      <c r="L4">
        <v>0.23</v>
      </c>
      <c r="M4">
        <v>0.56999999999999995</v>
      </c>
      <c r="N4">
        <v>21</v>
      </c>
      <c r="O4">
        <v>0</v>
      </c>
      <c r="P4">
        <v>13</v>
      </c>
      <c r="Q4" s="4">
        <v>10</v>
      </c>
      <c r="R4" s="4">
        <v>19</v>
      </c>
      <c r="S4" s="4">
        <v>0.82</v>
      </c>
      <c r="T4">
        <v>0.11</v>
      </c>
      <c r="U4">
        <v>15</v>
      </c>
      <c r="V4">
        <v>0.02</v>
      </c>
      <c r="W4">
        <v>0.04</v>
      </c>
    </row>
    <row r="5" spans="1:23" x14ac:dyDescent="0.2">
      <c r="A5" t="s">
        <v>105</v>
      </c>
      <c r="C5" t="s">
        <v>106</v>
      </c>
      <c r="D5" t="s">
        <v>107</v>
      </c>
      <c r="E5">
        <v>125</v>
      </c>
      <c r="F5">
        <v>60</v>
      </c>
      <c r="G5">
        <v>65</v>
      </c>
      <c r="H5">
        <v>17</v>
      </c>
      <c r="I5">
        <v>-3.6</v>
      </c>
      <c r="J5">
        <v>69</v>
      </c>
      <c r="K5">
        <v>108</v>
      </c>
      <c r="L5">
        <v>0.24</v>
      </c>
      <c r="M5">
        <v>0.33</v>
      </c>
      <c r="N5">
        <v>26</v>
      </c>
      <c r="O5">
        <v>6</v>
      </c>
      <c r="P5">
        <v>12</v>
      </c>
      <c r="Q5" s="4">
        <v>10</v>
      </c>
      <c r="R5">
        <v>15</v>
      </c>
      <c r="S5" s="4">
        <v>0.79</v>
      </c>
      <c r="T5">
        <v>0.19</v>
      </c>
      <c r="U5">
        <v>18</v>
      </c>
      <c r="V5">
        <v>-0.2</v>
      </c>
      <c r="W5">
        <v>0.03</v>
      </c>
    </row>
    <row r="6" spans="1:23" x14ac:dyDescent="0.2">
      <c r="A6" t="s">
        <v>108</v>
      </c>
      <c r="C6" t="s">
        <v>109</v>
      </c>
      <c r="D6" t="s">
        <v>110</v>
      </c>
      <c r="E6">
        <v>111</v>
      </c>
      <c r="F6">
        <v>59</v>
      </c>
      <c r="G6">
        <v>52</v>
      </c>
      <c r="H6" s="4">
        <v>16</v>
      </c>
      <c r="I6">
        <v>-3.4</v>
      </c>
      <c r="J6">
        <v>69</v>
      </c>
      <c r="K6">
        <v>101</v>
      </c>
      <c r="L6">
        <v>0.2</v>
      </c>
      <c r="M6">
        <v>0.4</v>
      </c>
      <c r="N6">
        <v>22</v>
      </c>
      <c r="O6">
        <v>-1</v>
      </c>
      <c r="P6">
        <v>17</v>
      </c>
      <c r="Q6">
        <v>8</v>
      </c>
      <c r="R6">
        <v>12</v>
      </c>
      <c r="S6">
        <v>0.65</v>
      </c>
      <c r="T6">
        <v>0.2</v>
      </c>
      <c r="U6">
        <v>21</v>
      </c>
      <c r="V6">
        <v>-0.16</v>
      </c>
      <c r="W6">
        <v>0.04</v>
      </c>
    </row>
    <row r="7" spans="1:23" x14ac:dyDescent="0.2">
      <c r="A7" t="s">
        <v>111</v>
      </c>
      <c r="C7" t="s">
        <v>112</v>
      </c>
      <c r="D7" s="6" t="s">
        <v>113</v>
      </c>
      <c r="E7">
        <v>137</v>
      </c>
      <c r="F7">
        <v>77</v>
      </c>
      <c r="G7">
        <v>60</v>
      </c>
      <c r="H7">
        <v>19</v>
      </c>
      <c r="I7" s="4">
        <v>-5</v>
      </c>
      <c r="J7">
        <v>66</v>
      </c>
      <c r="K7">
        <v>98</v>
      </c>
      <c r="L7">
        <v>0.2</v>
      </c>
      <c r="M7" s="4">
        <v>0.12</v>
      </c>
      <c r="N7">
        <v>25</v>
      </c>
      <c r="O7">
        <v>6</v>
      </c>
      <c r="P7">
        <v>14</v>
      </c>
      <c r="Q7">
        <v>9</v>
      </c>
      <c r="R7">
        <v>18</v>
      </c>
      <c r="S7" s="4">
        <v>0.73</v>
      </c>
      <c r="T7">
        <v>0.17</v>
      </c>
      <c r="U7">
        <v>18</v>
      </c>
      <c r="V7">
        <v>-0.12</v>
      </c>
      <c r="W7">
        <v>0.04</v>
      </c>
    </row>
    <row r="9" spans="1:23" x14ac:dyDescent="0.2">
      <c r="A9" t="s">
        <v>114</v>
      </c>
      <c r="C9" t="s">
        <v>115</v>
      </c>
      <c r="D9" t="s">
        <v>116</v>
      </c>
      <c r="E9" s="4">
        <v>156</v>
      </c>
      <c r="F9" s="4">
        <v>92</v>
      </c>
      <c r="G9">
        <v>63</v>
      </c>
      <c r="H9">
        <v>15</v>
      </c>
      <c r="I9" s="4">
        <v>-5.2</v>
      </c>
      <c r="J9">
        <v>66</v>
      </c>
      <c r="K9">
        <v>102</v>
      </c>
      <c r="L9">
        <v>0.22</v>
      </c>
      <c r="M9">
        <v>0.71</v>
      </c>
      <c r="N9">
        <v>29</v>
      </c>
      <c r="O9">
        <v>-5</v>
      </c>
      <c r="P9" s="4">
        <v>16</v>
      </c>
      <c r="Q9" s="4">
        <v>10</v>
      </c>
      <c r="R9">
        <v>16</v>
      </c>
      <c r="S9">
        <v>0.62</v>
      </c>
      <c r="T9" s="4">
        <v>-0.03</v>
      </c>
      <c r="U9">
        <v>24</v>
      </c>
      <c r="V9">
        <v>0.28000000000000003</v>
      </c>
      <c r="W9">
        <v>0</v>
      </c>
    </row>
    <row r="10" spans="1:23" x14ac:dyDescent="0.2">
      <c r="A10" t="s">
        <v>117</v>
      </c>
      <c r="C10" t="s">
        <v>118</v>
      </c>
      <c r="D10" t="s">
        <v>119</v>
      </c>
      <c r="E10" s="4">
        <v>153</v>
      </c>
      <c r="F10" s="4">
        <v>80</v>
      </c>
      <c r="G10">
        <v>72</v>
      </c>
      <c r="H10">
        <v>15</v>
      </c>
      <c r="I10" s="4">
        <v>-5.3</v>
      </c>
      <c r="J10">
        <v>58</v>
      </c>
      <c r="K10">
        <v>102</v>
      </c>
      <c r="L10">
        <v>0.27</v>
      </c>
      <c r="M10">
        <v>0.83</v>
      </c>
      <c r="N10" s="4">
        <v>31</v>
      </c>
      <c r="O10">
        <v>-1</v>
      </c>
      <c r="P10" s="4">
        <v>17</v>
      </c>
      <c r="Q10" s="4">
        <v>10</v>
      </c>
      <c r="R10">
        <v>15</v>
      </c>
      <c r="S10">
        <v>0.44</v>
      </c>
      <c r="T10">
        <v>0.01</v>
      </c>
      <c r="U10">
        <v>33</v>
      </c>
      <c r="V10" s="4">
        <v>0.41</v>
      </c>
      <c r="W10">
        <v>0.01</v>
      </c>
    </row>
    <row r="11" spans="1:23" x14ac:dyDescent="0.2">
      <c r="A11" t="s">
        <v>120</v>
      </c>
      <c r="C11" t="s">
        <v>121</v>
      </c>
      <c r="D11" t="s">
        <v>122</v>
      </c>
      <c r="E11" s="4">
        <v>165</v>
      </c>
      <c r="F11" s="4">
        <v>88</v>
      </c>
      <c r="G11">
        <v>77</v>
      </c>
      <c r="H11">
        <v>17</v>
      </c>
      <c r="I11" s="4">
        <v>-5.8</v>
      </c>
      <c r="J11">
        <v>62</v>
      </c>
      <c r="K11">
        <v>102</v>
      </c>
      <c r="L11">
        <v>0.25</v>
      </c>
      <c r="M11">
        <v>0.75</v>
      </c>
      <c r="N11">
        <v>24</v>
      </c>
      <c r="O11">
        <v>-4</v>
      </c>
      <c r="P11">
        <v>15</v>
      </c>
      <c r="Q11" s="4">
        <v>10</v>
      </c>
      <c r="R11">
        <v>17</v>
      </c>
      <c r="S11" s="4">
        <v>0.79</v>
      </c>
      <c r="T11">
        <v>0.02</v>
      </c>
      <c r="U11">
        <v>24</v>
      </c>
      <c r="V11">
        <v>0.28000000000000003</v>
      </c>
      <c r="W11">
        <v>0.02</v>
      </c>
    </row>
    <row r="12" spans="1:23" x14ac:dyDescent="0.2">
      <c r="A12" t="s">
        <v>123</v>
      </c>
      <c r="C12" t="s">
        <v>124</v>
      </c>
      <c r="D12" t="s">
        <v>125</v>
      </c>
      <c r="E12">
        <v>137</v>
      </c>
      <c r="F12">
        <v>57</v>
      </c>
      <c r="G12" s="4">
        <v>80</v>
      </c>
      <c r="H12" s="4">
        <v>16</v>
      </c>
      <c r="I12">
        <v>-4.2</v>
      </c>
      <c r="J12">
        <v>66</v>
      </c>
      <c r="K12">
        <v>108</v>
      </c>
      <c r="L12">
        <v>0.26</v>
      </c>
      <c r="M12">
        <v>0.5</v>
      </c>
      <c r="N12">
        <v>29</v>
      </c>
      <c r="O12">
        <v>2</v>
      </c>
      <c r="P12">
        <v>14</v>
      </c>
      <c r="Q12" s="4">
        <v>10</v>
      </c>
      <c r="R12">
        <v>13</v>
      </c>
      <c r="S12" s="4">
        <v>0.76</v>
      </c>
      <c r="T12">
        <v>0.1</v>
      </c>
      <c r="U12">
        <v>28</v>
      </c>
      <c r="V12">
        <v>0.06</v>
      </c>
      <c r="W12">
        <v>0.02</v>
      </c>
    </row>
    <row r="13" spans="1:23" x14ac:dyDescent="0.2">
      <c r="A13" t="s">
        <v>126</v>
      </c>
      <c r="C13" t="s">
        <v>127</v>
      </c>
      <c r="D13" t="s">
        <v>128</v>
      </c>
      <c r="E13">
        <v>123</v>
      </c>
      <c r="F13">
        <v>56</v>
      </c>
      <c r="G13">
        <v>67</v>
      </c>
      <c r="H13">
        <v>14</v>
      </c>
      <c r="I13">
        <v>-4</v>
      </c>
      <c r="J13">
        <v>65</v>
      </c>
      <c r="K13">
        <v>101</v>
      </c>
      <c r="L13">
        <v>0.22</v>
      </c>
      <c r="M13">
        <v>0.57999999999999996</v>
      </c>
      <c r="N13">
        <v>24</v>
      </c>
      <c r="O13">
        <v>-5</v>
      </c>
      <c r="P13" s="4">
        <v>19</v>
      </c>
      <c r="Q13">
        <v>8</v>
      </c>
      <c r="R13">
        <v>10</v>
      </c>
      <c r="S13">
        <v>0.62</v>
      </c>
      <c r="T13">
        <v>0.11</v>
      </c>
      <c r="U13">
        <v>31</v>
      </c>
      <c r="V13">
        <v>0.11</v>
      </c>
      <c r="W13">
        <v>0.02</v>
      </c>
    </row>
    <row r="14" spans="1:23" x14ac:dyDescent="0.2">
      <c r="A14" t="s">
        <v>129</v>
      </c>
      <c r="C14" t="s">
        <v>130</v>
      </c>
      <c r="D14" s="6" t="s">
        <v>131</v>
      </c>
      <c r="E14" s="4">
        <v>149</v>
      </c>
      <c r="F14">
        <v>73</v>
      </c>
      <c r="G14">
        <v>76</v>
      </c>
      <c r="H14" s="4">
        <v>18</v>
      </c>
      <c r="I14" s="4">
        <v>-5.6</v>
      </c>
      <c r="J14">
        <v>63</v>
      </c>
      <c r="K14">
        <v>97</v>
      </c>
      <c r="L14">
        <v>0.22</v>
      </c>
      <c r="M14">
        <v>0.28999999999999998</v>
      </c>
      <c r="N14">
        <v>28</v>
      </c>
      <c r="O14">
        <v>2</v>
      </c>
      <c r="P14" s="4">
        <v>16</v>
      </c>
      <c r="Q14">
        <v>9</v>
      </c>
      <c r="R14">
        <v>16</v>
      </c>
      <c r="S14">
        <v>0.7</v>
      </c>
      <c r="T14">
        <v>7.0000000000000007E-2</v>
      </c>
      <c r="U14">
        <v>28</v>
      </c>
      <c r="V14">
        <v>0.15</v>
      </c>
      <c r="W14">
        <v>0.02</v>
      </c>
    </row>
    <row r="16" spans="1:23" x14ac:dyDescent="0.2">
      <c r="A16" t="s">
        <v>132</v>
      </c>
      <c r="C16" t="s">
        <v>133</v>
      </c>
      <c r="D16" t="s">
        <v>134</v>
      </c>
      <c r="E16" s="4">
        <v>152</v>
      </c>
      <c r="F16" s="4">
        <v>97</v>
      </c>
      <c r="G16">
        <v>55</v>
      </c>
      <c r="H16">
        <v>15</v>
      </c>
      <c r="I16">
        <v>-3.4</v>
      </c>
      <c r="J16">
        <v>72</v>
      </c>
      <c r="K16">
        <v>111</v>
      </c>
      <c r="L16">
        <v>0.24</v>
      </c>
      <c r="M16">
        <v>0.95</v>
      </c>
      <c r="N16" s="4">
        <v>34</v>
      </c>
      <c r="O16">
        <v>1</v>
      </c>
      <c r="P16">
        <v>13</v>
      </c>
      <c r="Q16">
        <v>9</v>
      </c>
      <c r="R16" s="4">
        <v>19</v>
      </c>
      <c r="S16">
        <v>0.66</v>
      </c>
      <c r="T16" s="4">
        <v>-0.04</v>
      </c>
      <c r="U16">
        <v>16</v>
      </c>
      <c r="V16">
        <v>0.35</v>
      </c>
      <c r="W16">
        <v>0.02</v>
      </c>
    </row>
    <row r="17" spans="1:23" x14ac:dyDescent="0.2">
      <c r="A17" t="s">
        <v>135</v>
      </c>
      <c r="C17" t="s">
        <v>136</v>
      </c>
      <c r="D17" t="s">
        <v>137</v>
      </c>
      <c r="E17" s="4">
        <v>149</v>
      </c>
      <c r="F17" s="4">
        <v>85</v>
      </c>
      <c r="G17">
        <v>64</v>
      </c>
      <c r="H17">
        <v>15</v>
      </c>
      <c r="I17">
        <v>-3.6</v>
      </c>
      <c r="J17">
        <v>64</v>
      </c>
      <c r="K17">
        <v>111</v>
      </c>
      <c r="L17">
        <v>0.3</v>
      </c>
      <c r="M17">
        <v>1.07</v>
      </c>
      <c r="N17" s="4">
        <v>36</v>
      </c>
      <c r="O17">
        <v>5</v>
      </c>
      <c r="P17">
        <v>15</v>
      </c>
      <c r="Q17">
        <v>9</v>
      </c>
      <c r="R17" s="4">
        <v>18</v>
      </c>
      <c r="S17">
        <v>0.48</v>
      </c>
      <c r="T17">
        <v>0</v>
      </c>
      <c r="U17">
        <v>26</v>
      </c>
      <c r="V17" s="4">
        <v>0.47</v>
      </c>
      <c r="W17">
        <v>0.03</v>
      </c>
    </row>
    <row r="18" spans="1:23" x14ac:dyDescent="0.2">
      <c r="A18" t="s">
        <v>138</v>
      </c>
      <c r="C18" t="s">
        <v>139</v>
      </c>
      <c r="D18" t="s">
        <v>140</v>
      </c>
      <c r="E18" s="4">
        <v>161</v>
      </c>
      <c r="F18" s="4">
        <v>92</v>
      </c>
      <c r="G18">
        <v>69</v>
      </c>
      <c r="H18" s="4">
        <v>16</v>
      </c>
      <c r="I18">
        <v>-4</v>
      </c>
      <c r="J18">
        <v>68</v>
      </c>
      <c r="K18">
        <v>111</v>
      </c>
      <c r="L18">
        <v>0.27</v>
      </c>
      <c r="M18">
        <v>0.99</v>
      </c>
      <c r="N18">
        <v>29</v>
      </c>
      <c r="O18">
        <v>3</v>
      </c>
      <c r="P18">
        <v>13</v>
      </c>
      <c r="Q18">
        <v>9</v>
      </c>
      <c r="R18" s="4">
        <v>20</v>
      </c>
      <c r="S18" s="4">
        <v>0.84</v>
      </c>
      <c r="T18">
        <v>0.02</v>
      </c>
      <c r="U18">
        <v>16</v>
      </c>
      <c r="V18">
        <v>0.35</v>
      </c>
      <c r="W18">
        <v>0.04</v>
      </c>
    </row>
    <row r="19" spans="1:23" x14ac:dyDescent="0.2">
      <c r="A19" t="s">
        <v>141</v>
      </c>
      <c r="C19" t="s">
        <v>142</v>
      </c>
      <c r="D19" t="s">
        <v>143</v>
      </c>
      <c r="E19">
        <v>134</v>
      </c>
      <c r="F19">
        <v>62</v>
      </c>
      <c r="G19">
        <v>72</v>
      </c>
      <c r="H19">
        <v>15</v>
      </c>
      <c r="I19">
        <v>-2.4</v>
      </c>
      <c r="J19">
        <v>71</v>
      </c>
      <c r="K19">
        <v>117</v>
      </c>
      <c r="L19">
        <v>0.28999999999999998</v>
      </c>
      <c r="M19">
        <v>0.75</v>
      </c>
      <c r="N19" s="4">
        <v>34</v>
      </c>
      <c r="O19">
        <v>9</v>
      </c>
      <c r="P19">
        <v>12</v>
      </c>
      <c r="Q19">
        <v>9</v>
      </c>
      <c r="R19">
        <v>16</v>
      </c>
      <c r="S19" s="4">
        <v>0.81</v>
      </c>
      <c r="T19">
        <v>0.09</v>
      </c>
      <c r="U19">
        <v>20</v>
      </c>
      <c r="V19">
        <v>0.13</v>
      </c>
      <c r="W19">
        <v>0.04</v>
      </c>
    </row>
    <row r="20" spans="1:23" x14ac:dyDescent="0.2">
      <c r="A20" t="s">
        <v>144</v>
      </c>
      <c r="C20" t="s">
        <v>145</v>
      </c>
      <c r="D20" t="s">
        <v>146</v>
      </c>
      <c r="E20">
        <v>120</v>
      </c>
      <c r="F20">
        <v>61</v>
      </c>
      <c r="G20">
        <v>59</v>
      </c>
      <c r="H20">
        <v>14</v>
      </c>
      <c r="I20">
        <v>-2.2000000000000002</v>
      </c>
      <c r="J20">
        <v>71</v>
      </c>
      <c r="K20">
        <v>110</v>
      </c>
      <c r="L20">
        <v>0.25</v>
      </c>
      <c r="M20">
        <v>0.82</v>
      </c>
      <c r="N20">
        <v>29</v>
      </c>
      <c r="O20">
        <v>1</v>
      </c>
      <c r="P20" s="4">
        <v>17</v>
      </c>
      <c r="Q20">
        <v>7</v>
      </c>
      <c r="R20">
        <v>13</v>
      </c>
      <c r="S20">
        <v>0.67</v>
      </c>
      <c r="T20">
        <v>0.1</v>
      </c>
      <c r="U20">
        <v>23</v>
      </c>
      <c r="V20">
        <v>0.18</v>
      </c>
      <c r="W20">
        <v>0.04</v>
      </c>
    </row>
    <row r="21" spans="1:23" x14ac:dyDescent="0.2">
      <c r="A21" t="s">
        <v>147</v>
      </c>
      <c r="C21" t="s">
        <v>148</v>
      </c>
      <c r="D21" s="6" t="s">
        <v>149</v>
      </c>
      <c r="E21" s="4">
        <v>146</v>
      </c>
      <c r="F21">
        <v>78</v>
      </c>
      <c r="G21">
        <v>68</v>
      </c>
      <c r="H21" s="4">
        <v>17</v>
      </c>
      <c r="I21">
        <v>-3.8</v>
      </c>
      <c r="J21">
        <v>68</v>
      </c>
      <c r="K21">
        <v>106</v>
      </c>
      <c r="L21">
        <v>0.24</v>
      </c>
      <c r="M21">
        <v>0.53</v>
      </c>
      <c r="N21">
        <v>33</v>
      </c>
      <c r="O21">
        <v>8</v>
      </c>
      <c r="P21">
        <v>14</v>
      </c>
      <c r="Q21">
        <v>8</v>
      </c>
      <c r="R21" s="4">
        <v>19</v>
      </c>
      <c r="S21" s="4">
        <v>0.75</v>
      </c>
      <c r="T21">
        <v>7.0000000000000007E-2</v>
      </c>
      <c r="U21">
        <v>20</v>
      </c>
      <c r="V21">
        <v>0.22</v>
      </c>
      <c r="W21">
        <v>0.04</v>
      </c>
    </row>
    <row r="23" spans="1:23" x14ac:dyDescent="0.2">
      <c r="A23" t="s">
        <v>150</v>
      </c>
      <c r="C23" t="s">
        <v>151</v>
      </c>
      <c r="D23" t="s">
        <v>152</v>
      </c>
      <c r="E23" s="4">
        <v>165</v>
      </c>
      <c r="F23" s="4">
        <v>103</v>
      </c>
      <c r="G23">
        <v>62</v>
      </c>
      <c r="H23">
        <v>15</v>
      </c>
      <c r="I23">
        <v>-4.3</v>
      </c>
      <c r="J23" s="4">
        <v>78</v>
      </c>
      <c r="K23">
        <v>117</v>
      </c>
      <c r="L23">
        <v>0.24</v>
      </c>
      <c r="M23">
        <v>0.94</v>
      </c>
      <c r="N23" s="4">
        <v>34</v>
      </c>
      <c r="O23">
        <v>-5</v>
      </c>
      <c r="P23">
        <v>13</v>
      </c>
      <c r="Q23" s="4">
        <v>10</v>
      </c>
      <c r="R23" s="4">
        <v>19</v>
      </c>
      <c r="S23">
        <v>0.66</v>
      </c>
      <c r="T23">
        <v>-0.01</v>
      </c>
      <c r="U23">
        <v>28</v>
      </c>
      <c r="V23">
        <v>0.28000000000000003</v>
      </c>
      <c r="W23">
        <v>0</v>
      </c>
    </row>
    <row r="24" spans="1:23" x14ac:dyDescent="0.2">
      <c r="A24" t="s">
        <v>153</v>
      </c>
      <c r="C24" t="s">
        <v>154</v>
      </c>
      <c r="D24" t="s">
        <v>155</v>
      </c>
      <c r="E24" s="4">
        <v>163</v>
      </c>
      <c r="F24" s="4">
        <v>91</v>
      </c>
      <c r="G24">
        <v>71</v>
      </c>
      <c r="H24">
        <v>15</v>
      </c>
      <c r="I24">
        <v>-4.4000000000000004</v>
      </c>
      <c r="J24">
        <v>70</v>
      </c>
      <c r="K24">
        <v>117</v>
      </c>
      <c r="L24">
        <v>0.3</v>
      </c>
      <c r="M24">
        <v>1.07</v>
      </c>
      <c r="N24" s="4">
        <v>36</v>
      </c>
      <c r="O24">
        <v>-1</v>
      </c>
      <c r="P24">
        <v>14</v>
      </c>
      <c r="Q24" s="4">
        <v>10</v>
      </c>
      <c r="R24">
        <v>18</v>
      </c>
      <c r="S24">
        <v>0.48</v>
      </c>
      <c r="T24">
        <v>0.04</v>
      </c>
      <c r="U24">
        <v>37</v>
      </c>
      <c r="V24" s="4">
        <v>0.41</v>
      </c>
      <c r="W24">
        <v>0.02</v>
      </c>
    </row>
    <row r="25" spans="1:23" x14ac:dyDescent="0.2">
      <c r="A25" t="s">
        <v>156</v>
      </c>
      <c r="C25" t="s">
        <v>157</v>
      </c>
      <c r="D25" t="s">
        <v>158</v>
      </c>
      <c r="E25" s="4">
        <v>175</v>
      </c>
      <c r="F25" s="4">
        <v>98</v>
      </c>
      <c r="G25">
        <v>76</v>
      </c>
      <c r="H25" s="4">
        <v>17</v>
      </c>
      <c r="I25" s="4">
        <v>-4.9000000000000004</v>
      </c>
      <c r="J25">
        <v>73</v>
      </c>
      <c r="K25">
        <v>117</v>
      </c>
      <c r="L25">
        <v>0.27</v>
      </c>
      <c r="M25">
        <v>0.98</v>
      </c>
      <c r="N25">
        <v>29</v>
      </c>
      <c r="O25">
        <v>-3</v>
      </c>
      <c r="P25">
        <v>12</v>
      </c>
      <c r="Q25">
        <v>9</v>
      </c>
      <c r="R25" s="4">
        <v>20</v>
      </c>
      <c r="S25">
        <v>0.84</v>
      </c>
      <c r="T25">
        <v>0.05</v>
      </c>
      <c r="U25">
        <v>28</v>
      </c>
      <c r="V25">
        <v>0.28999999999999998</v>
      </c>
      <c r="W25">
        <v>0.02</v>
      </c>
    </row>
    <row r="26" spans="1:23" x14ac:dyDescent="0.2">
      <c r="A26" t="s">
        <v>159</v>
      </c>
      <c r="C26" t="s">
        <v>160</v>
      </c>
      <c r="D26" t="s">
        <v>161</v>
      </c>
      <c r="E26" s="4">
        <v>147</v>
      </c>
      <c r="F26">
        <v>68</v>
      </c>
      <c r="G26" s="4">
        <v>79</v>
      </c>
      <c r="H26" s="4">
        <v>16</v>
      </c>
      <c r="I26">
        <v>-3.3</v>
      </c>
      <c r="J26">
        <v>77</v>
      </c>
      <c r="K26">
        <v>123</v>
      </c>
      <c r="L26">
        <v>0.28999999999999998</v>
      </c>
      <c r="M26">
        <v>0.74</v>
      </c>
      <c r="N26" s="4">
        <v>34</v>
      </c>
      <c r="O26">
        <v>3</v>
      </c>
      <c r="P26">
        <v>11</v>
      </c>
      <c r="Q26">
        <v>9</v>
      </c>
      <c r="R26">
        <v>16</v>
      </c>
      <c r="S26" s="4">
        <v>0.81</v>
      </c>
      <c r="T26">
        <v>0.12</v>
      </c>
      <c r="U26">
        <v>31</v>
      </c>
      <c r="V26">
        <v>7.0000000000000007E-2</v>
      </c>
      <c r="W26">
        <v>0.02</v>
      </c>
    </row>
    <row r="27" spans="1:23" x14ac:dyDescent="0.2">
      <c r="A27" t="s">
        <v>162</v>
      </c>
      <c r="C27" t="s">
        <v>163</v>
      </c>
      <c r="D27" t="s">
        <v>164</v>
      </c>
      <c r="E27">
        <v>133</v>
      </c>
      <c r="F27">
        <v>67</v>
      </c>
      <c r="G27">
        <v>66</v>
      </c>
      <c r="H27">
        <v>14</v>
      </c>
      <c r="I27">
        <v>-3.2</v>
      </c>
      <c r="J27">
        <v>77</v>
      </c>
      <c r="K27">
        <v>116</v>
      </c>
      <c r="L27">
        <v>0.25</v>
      </c>
      <c r="M27">
        <v>0.81</v>
      </c>
      <c r="N27">
        <v>29</v>
      </c>
      <c r="O27">
        <v>-4</v>
      </c>
      <c r="P27" s="4">
        <v>16</v>
      </c>
      <c r="Q27">
        <v>7</v>
      </c>
      <c r="R27">
        <v>13</v>
      </c>
      <c r="S27">
        <v>0.67</v>
      </c>
      <c r="T27">
        <v>0.14000000000000001</v>
      </c>
      <c r="U27">
        <v>35</v>
      </c>
      <c r="V27">
        <v>0.11</v>
      </c>
      <c r="W27">
        <v>0.03</v>
      </c>
    </row>
    <row r="28" spans="1:23" x14ac:dyDescent="0.2">
      <c r="A28" t="s">
        <v>165</v>
      </c>
      <c r="C28" t="s">
        <v>166</v>
      </c>
      <c r="D28" s="6" t="s">
        <v>167</v>
      </c>
      <c r="E28" s="4">
        <v>159</v>
      </c>
      <c r="F28">
        <v>84</v>
      </c>
      <c r="G28">
        <v>75</v>
      </c>
      <c r="H28" s="4">
        <v>18</v>
      </c>
      <c r="I28" s="4">
        <v>-4.8</v>
      </c>
      <c r="J28">
        <v>74</v>
      </c>
      <c r="K28">
        <v>112</v>
      </c>
      <c r="L28">
        <v>0.24</v>
      </c>
      <c r="M28">
        <v>0.53</v>
      </c>
      <c r="N28" s="4">
        <v>33</v>
      </c>
      <c r="O28">
        <v>2</v>
      </c>
      <c r="P28">
        <v>13</v>
      </c>
      <c r="Q28">
        <v>8</v>
      </c>
      <c r="R28" s="4">
        <v>19</v>
      </c>
      <c r="S28" s="4">
        <v>0.75</v>
      </c>
      <c r="T28">
        <v>0.1</v>
      </c>
      <c r="U28">
        <v>32</v>
      </c>
      <c r="V28">
        <v>0.16</v>
      </c>
      <c r="W28">
        <v>0.02</v>
      </c>
    </row>
    <row r="30" spans="1:23" x14ac:dyDescent="0.2">
      <c r="A30" t="s">
        <v>168</v>
      </c>
      <c r="C30" t="s">
        <v>169</v>
      </c>
      <c r="D30" t="s">
        <v>170</v>
      </c>
      <c r="E30" s="4">
        <v>176</v>
      </c>
      <c r="F30" s="4">
        <v>112</v>
      </c>
      <c r="G30">
        <v>64</v>
      </c>
      <c r="H30" s="4">
        <v>16</v>
      </c>
      <c r="I30" s="4">
        <v>-4.4000000000000004</v>
      </c>
      <c r="J30">
        <v>72</v>
      </c>
      <c r="K30">
        <v>105</v>
      </c>
      <c r="L30">
        <v>0.21</v>
      </c>
      <c r="M30">
        <v>0.6</v>
      </c>
      <c r="N30">
        <v>29</v>
      </c>
      <c r="O30">
        <v>-5</v>
      </c>
      <c r="P30" s="4">
        <v>16</v>
      </c>
      <c r="Q30" s="4">
        <v>11</v>
      </c>
      <c r="R30">
        <v>18</v>
      </c>
      <c r="S30">
        <v>0.7</v>
      </c>
      <c r="T30" s="4">
        <v>-0.04</v>
      </c>
      <c r="U30">
        <v>22</v>
      </c>
      <c r="V30">
        <v>0.31</v>
      </c>
      <c r="W30">
        <v>0</v>
      </c>
    </row>
    <row r="31" spans="1:23" x14ac:dyDescent="0.2">
      <c r="A31" t="s">
        <v>171</v>
      </c>
      <c r="C31" t="s">
        <v>172</v>
      </c>
      <c r="D31" t="s">
        <v>173</v>
      </c>
      <c r="E31" s="4">
        <v>173</v>
      </c>
      <c r="F31" s="4">
        <v>100</v>
      </c>
      <c r="G31">
        <v>73</v>
      </c>
      <c r="H31" s="4">
        <v>16</v>
      </c>
      <c r="I31" s="4">
        <v>-4.5999999999999996</v>
      </c>
      <c r="J31">
        <v>63</v>
      </c>
      <c r="K31">
        <v>106</v>
      </c>
      <c r="L31">
        <v>0.26</v>
      </c>
      <c r="M31">
        <v>0.72</v>
      </c>
      <c r="N31" s="4">
        <v>31</v>
      </c>
      <c r="O31">
        <v>-1</v>
      </c>
      <c r="P31" s="4">
        <v>18</v>
      </c>
      <c r="Q31" s="4">
        <v>11</v>
      </c>
      <c r="R31">
        <v>17</v>
      </c>
      <c r="S31">
        <v>0.52</v>
      </c>
      <c r="T31">
        <v>0</v>
      </c>
      <c r="U31">
        <v>31</v>
      </c>
      <c r="V31" s="4">
        <v>0.44</v>
      </c>
      <c r="W31">
        <v>0.02</v>
      </c>
    </row>
    <row r="32" spans="1:23" x14ac:dyDescent="0.2">
      <c r="A32" t="s">
        <v>174</v>
      </c>
      <c r="C32" t="s">
        <v>175</v>
      </c>
      <c r="D32" t="s">
        <v>176</v>
      </c>
      <c r="E32" s="4">
        <v>185</v>
      </c>
      <c r="F32" s="4">
        <v>107</v>
      </c>
      <c r="G32">
        <v>78</v>
      </c>
      <c r="H32" s="4">
        <v>17</v>
      </c>
      <c r="I32" s="4">
        <v>-5.0999999999999996</v>
      </c>
      <c r="J32">
        <v>67</v>
      </c>
      <c r="K32">
        <v>105</v>
      </c>
      <c r="L32">
        <v>0.24</v>
      </c>
      <c r="M32">
        <v>0.64</v>
      </c>
      <c r="N32">
        <v>24</v>
      </c>
      <c r="O32">
        <v>-3</v>
      </c>
      <c r="P32" s="4">
        <v>16</v>
      </c>
      <c r="Q32" s="4">
        <v>11</v>
      </c>
      <c r="R32" s="4">
        <v>19</v>
      </c>
      <c r="S32" s="4">
        <v>0.88</v>
      </c>
      <c r="T32">
        <v>0.01</v>
      </c>
      <c r="U32">
        <v>22</v>
      </c>
      <c r="V32">
        <v>0.31</v>
      </c>
      <c r="W32">
        <v>0.02</v>
      </c>
    </row>
    <row r="33" spans="1:23" x14ac:dyDescent="0.2">
      <c r="A33" t="s">
        <v>177</v>
      </c>
      <c r="C33" t="s">
        <v>178</v>
      </c>
      <c r="D33" t="s">
        <v>179</v>
      </c>
      <c r="E33" s="4">
        <v>158</v>
      </c>
      <c r="F33">
        <v>77</v>
      </c>
      <c r="G33" s="4">
        <v>81</v>
      </c>
      <c r="H33" s="4">
        <v>16</v>
      </c>
      <c r="I33">
        <v>-3.5</v>
      </c>
      <c r="J33">
        <v>71</v>
      </c>
      <c r="K33">
        <v>111</v>
      </c>
      <c r="L33">
        <v>0.25</v>
      </c>
      <c r="M33">
        <v>0.4</v>
      </c>
      <c r="N33">
        <v>29</v>
      </c>
      <c r="O33">
        <v>2</v>
      </c>
      <c r="P33">
        <v>15</v>
      </c>
      <c r="Q33" s="4">
        <v>11</v>
      </c>
      <c r="R33">
        <v>15</v>
      </c>
      <c r="S33" s="4">
        <v>0.85</v>
      </c>
      <c r="T33">
        <v>0.09</v>
      </c>
      <c r="U33">
        <v>25</v>
      </c>
      <c r="V33">
        <v>0.09</v>
      </c>
      <c r="W33">
        <v>0.02</v>
      </c>
    </row>
    <row r="34" spans="1:23" x14ac:dyDescent="0.2">
      <c r="A34" t="s">
        <v>180</v>
      </c>
      <c r="C34" t="s">
        <v>181</v>
      </c>
      <c r="D34" t="s">
        <v>182</v>
      </c>
      <c r="E34" s="4">
        <v>144</v>
      </c>
      <c r="F34">
        <v>75</v>
      </c>
      <c r="G34">
        <v>68</v>
      </c>
      <c r="H34">
        <v>15</v>
      </c>
      <c r="I34">
        <v>-3.3</v>
      </c>
      <c r="J34">
        <v>70</v>
      </c>
      <c r="K34">
        <v>104</v>
      </c>
      <c r="L34">
        <v>0.21</v>
      </c>
      <c r="M34">
        <v>0.47</v>
      </c>
      <c r="N34">
        <v>24</v>
      </c>
      <c r="O34">
        <v>-5</v>
      </c>
      <c r="P34" s="4">
        <v>20</v>
      </c>
      <c r="Q34">
        <v>9</v>
      </c>
      <c r="R34">
        <v>12</v>
      </c>
      <c r="S34" s="4">
        <v>0.71</v>
      </c>
      <c r="T34">
        <v>0.1</v>
      </c>
      <c r="U34">
        <v>28</v>
      </c>
      <c r="V34">
        <v>0.14000000000000001</v>
      </c>
      <c r="W34">
        <v>0.03</v>
      </c>
    </row>
    <row r="35" spans="1:23" x14ac:dyDescent="0.2">
      <c r="A35" t="s">
        <v>183</v>
      </c>
      <c r="C35" t="s">
        <v>184</v>
      </c>
      <c r="D35" s="6" t="s">
        <v>185</v>
      </c>
      <c r="E35" s="4">
        <v>170</v>
      </c>
      <c r="F35" s="4">
        <v>93</v>
      </c>
      <c r="G35">
        <v>77</v>
      </c>
      <c r="H35" s="4">
        <v>18</v>
      </c>
      <c r="I35" s="4">
        <v>-4.9000000000000004</v>
      </c>
      <c r="J35">
        <v>68</v>
      </c>
      <c r="K35">
        <v>101</v>
      </c>
      <c r="L35">
        <v>0.2</v>
      </c>
      <c r="M35" s="4">
        <v>0.19</v>
      </c>
      <c r="N35">
        <v>27</v>
      </c>
      <c r="O35">
        <v>2</v>
      </c>
      <c r="P35" s="4">
        <v>17</v>
      </c>
      <c r="Q35" s="4">
        <v>10</v>
      </c>
      <c r="R35">
        <v>18</v>
      </c>
      <c r="S35" s="4">
        <v>0.79</v>
      </c>
      <c r="T35">
        <v>7.0000000000000007E-2</v>
      </c>
      <c r="U35">
        <v>25</v>
      </c>
      <c r="V35">
        <v>0.18</v>
      </c>
      <c r="W35">
        <v>0.02</v>
      </c>
    </row>
    <row r="37" spans="1:23" x14ac:dyDescent="0.2">
      <c r="A37" t="s">
        <v>186</v>
      </c>
      <c r="C37" t="s">
        <v>187</v>
      </c>
      <c r="D37" t="s">
        <v>188</v>
      </c>
      <c r="E37" s="4">
        <v>149</v>
      </c>
      <c r="F37" s="4">
        <v>95</v>
      </c>
      <c r="G37">
        <v>54</v>
      </c>
      <c r="H37">
        <v>15</v>
      </c>
      <c r="I37">
        <v>-4.2</v>
      </c>
      <c r="J37">
        <v>72</v>
      </c>
      <c r="K37">
        <v>109</v>
      </c>
      <c r="L37">
        <v>0.23</v>
      </c>
      <c r="M37">
        <v>0.63</v>
      </c>
      <c r="N37" s="4">
        <v>30</v>
      </c>
      <c r="O37">
        <v>0</v>
      </c>
      <c r="P37">
        <v>13</v>
      </c>
      <c r="Q37" s="4">
        <v>10</v>
      </c>
      <c r="R37" s="4">
        <v>19</v>
      </c>
      <c r="S37">
        <v>0.7</v>
      </c>
      <c r="T37">
        <v>0.05</v>
      </c>
      <c r="U37">
        <v>13</v>
      </c>
      <c r="V37">
        <v>0.11</v>
      </c>
      <c r="W37">
        <v>0.03</v>
      </c>
    </row>
    <row r="38" spans="1:23" x14ac:dyDescent="0.2">
      <c r="A38" t="s">
        <v>189</v>
      </c>
      <c r="C38" t="s">
        <v>190</v>
      </c>
      <c r="D38" t="s">
        <v>191</v>
      </c>
      <c r="E38" s="4">
        <v>146</v>
      </c>
      <c r="F38" s="4">
        <v>83</v>
      </c>
      <c r="G38">
        <v>63</v>
      </c>
      <c r="H38">
        <v>15</v>
      </c>
      <c r="I38">
        <v>-4.4000000000000004</v>
      </c>
      <c r="J38">
        <v>64</v>
      </c>
      <c r="K38">
        <v>109</v>
      </c>
      <c r="L38">
        <v>0.28999999999999998</v>
      </c>
      <c r="M38">
        <v>0.75</v>
      </c>
      <c r="N38" s="4">
        <v>33</v>
      </c>
      <c r="O38">
        <v>4</v>
      </c>
      <c r="P38">
        <v>14</v>
      </c>
      <c r="Q38" s="4">
        <v>10</v>
      </c>
      <c r="R38">
        <v>17</v>
      </c>
      <c r="S38">
        <v>0.52</v>
      </c>
      <c r="T38">
        <v>0.09</v>
      </c>
      <c r="U38">
        <v>22</v>
      </c>
      <c r="V38">
        <v>0.24</v>
      </c>
      <c r="W38">
        <v>0.04</v>
      </c>
    </row>
    <row r="39" spans="1:23" x14ac:dyDescent="0.2">
      <c r="A39" t="s">
        <v>192</v>
      </c>
      <c r="C39" t="s">
        <v>193</v>
      </c>
      <c r="D39" t="s">
        <v>194</v>
      </c>
      <c r="E39" s="4">
        <v>158</v>
      </c>
      <c r="F39" s="4">
        <v>90</v>
      </c>
      <c r="G39">
        <v>68</v>
      </c>
      <c r="H39" s="4">
        <v>17</v>
      </c>
      <c r="I39" s="4">
        <v>-4.8</v>
      </c>
      <c r="J39">
        <v>67</v>
      </c>
      <c r="K39">
        <v>109</v>
      </c>
      <c r="L39">
        <v>0.26</v>
      </c>
      <c r="M39">
        <v>0.67</v>
      </c>
      <c r="N39">
        <v>25</v>
      </c>
      <c r="O39">
        <v>1</v>
      </c>
      <c r="P39">
        <v>12</v>
      </c>
      <c r="Q39" s="4">
        <v>10</v>
      </c>
      <c r="R39" s="4">
        <v>20</v>
      </c>
      <c r="S39" s="4">
        <v>0.88</v>
      </c>
      <c r="T39">
        <v>0.1</v>
      </c>
      <c r="U39">
        <v>13</v>
      </c>
      <c r="V39">
        <v>0.12</v>
      </c>
      <c r="W39">
        <v>0.05</v>
      </c>
    </row>
    <row r="40" spans="1:23" x14ac:dyDescent="0.2">
      <c r="A40" t="s">
        <v>195</v>
      </c>
      <c r="C40" t="s">
        <v>196</v>
      </c>
      <c r="D40" t="s">
        <v>197</v>
      </c>
      <c r="E40">
        <v>131</v>
      </c>
      <c r="F40">
        <v>59</v>
      </c>
      <c r="G40">
        <v>71</v>
      </c>
      <c r="H40" s="4">
        <v>16</v>
      </c>
      <c r="I40">
        <v>-3.3</v>
      </c>
      <c r="J40">
        <v>71</v>
      </c>
      <c r="K40">
        <v>115</v>
      </c>
      <c r="L40">
        <v>0.27</v>
      </c>
      <c r="M40">
        <v>0.43</v>
      </c>
      <c r="N40" s="4">
        <v>30</v>
      </c>
      <c r="O40">
        <v>7</v>
      </c>
      <c r="P40">
        <v>11</v>
      </c>
      <c r="Q40" s="4">
        <v>10</v>
      </c>
      <c r="R40">
        <v>15</v>
      </c>
      <c r="S40" s="4">
        <v>0.85</v>
      </c>
      <c r="T40">
        <v>0.18</v>
      </c>
      <c r="U40">
        <v>16</v>
      </c>
      <c r="V40">
        <v>-0.11</v>
      </c>
      <c r="W40">
        <v>0.04</v>
      </c>
    </row>
    <row r="41" spans="1:23" x14ac:dyDescent="0.2">
      <c r="A41" t="s">
        <v>198</v>
      </c>
      <c r="C41" t="s">
        <v>199</v>
      </c>
      <c r="D41" t="s">
        <v>200</v>
      </c>
      <c r="E41">
        <v>116</v>
      </c>
      <c r="F41">
        <v>58</v>
      </c>
      <c r="G41">
        <v>58</v>
      </c>
      <c r="H41">
        <v>14</v>
      </c>
      <c r="I41">
        <v>-3.1</v>
      </c>
      <c r="J41">
        <v>71</v>
      </c>
      <c r="K41">
        <v>108</v>
      </c>
      <c r="L41">
        <v>0.23</v>
      </c>
      <c r="M41">
        <v>0.5</v>
      </c>
      <c r="N41">
        <v>26</v>
      </c>
      <c r="O41">
        <v>0</v>
      </c>
      <c r="P41">
        <v>16</v>
      </c>
      <c r="Q41">
        <v>8</v>
      </c>
      <c r="R41">
        <v>13</v>
      </c>
      <c r="S41" s="4">
        <v>0.71</v>
      </c>
      <c r="T41">
        <v>0.19</v>
      </c>
      <c r="U41">
        <v>20</v>
      </c>
      <c r="V41">
        <v>-0.06</v>
      </c>
      <c r="W41">
        <v>0.05</v>
      </c>
    </row>
    <row r="42" spans="1:23" x14ac:dyDescent="0.2">
      <c r="A42" t="s">
        <v>201</v>
      </c>
      <c r="C42" t="s">
        <v>202</v>
      </c>
      <c r="D42" s="6" t="s">
        <v>203</v>
      </c>
      <c r="E42" s="4">
        <v>142</v>
      </c>
      <c r="F42">
        <v>76</v>
      </c>
      <c r="G42">
        <v>67</v>
      </c>
      <c r="H42" s="4">
        <v>18</v>
      </c>
      <c r="I42" s="4">
        <v>-4.7</v>
      </c>
      <c r="J42">
        <v>68</v>
      </c>
      <c r="K42">
        <v>104</v>
      </c>
      <c r="L42">
        <v>0.23</v>
      </c>
      <c r="M42">
        <v>0.22</v>
      </c>
      <c r="N42">
        <v>29</v>
      </c>
      <c r="O42">
        <v>7</v>
      </c>
      <c r="P42">
        <v>13</v>
      </c>
      <c r="Q42">
        <v>9</v>
      </c>
      <c r="R42">
        <v>18</v>
      </c>
      <c r="S42" s="4">
        <v>0.79</v>
      </c>
      <c r="T42">
        <v>0.16</v>
      </c>
      <c r="U42">
        <v>17</v>
      </c>
      <c r="V42">
        <v>-0.02</v>
      </c>
      <c r="W42">
        <v>0.05</v>
      </c>
    </row>
    <row r="44" spans="1:23" x14ac:dyDescent="0.2">
      <c r="A44" t="s">
        <v>204</v>
      </c>
      <c r="C44" t="s">
        <v>205</v>
      </c>
      <c r="D44" t="s">
        <v>206</v>
      </c>
      <c r="E44" s="4">
        <v>161</v>
      </c>
      <c r="F44" s="4">
        <v>105</v>
      </c>
      <c r="G44">
        <v>57</v>
      </c>
      <c r="H44">
        <v>15</v>
      </c>
      <c r="I44">
        <v>-4</v>
      </c>
      <c r="J44">
        <v>71</v>
      </c>
      <c r="K44">
        <v>107</v>
      </c>
      <c r="L44">
        <v>0.23</v>
      </c>
      <c r="M44">
        <v>0.75</v>
      </c>
      <c r="N44" s="4">
        <v>33</v>
      </c>
      <c r="O44" s="4">
        <v>-8</v>
      </c>
      <c r="P44">
        <v>15</v>
      </c>
      <c r="Q44" s="4">
        <v>10</v>
      </c>
      <c r="R44">
        <v>18</v>
      </c>
      <c r="S44">
        <v>0.8</v>
      </c>
      <c r="T44">
        <v>0.02</v>
      </c>
      <c r="U44">
        <v>11</v>
      </c>
      <c r="V44">
        <v>-0.01</v>
      </c>
      <c r="W44">
        <v>0</v>
      </c>
    </row>
    <row r="45" spans="1:23" x14ac:dyDescent="0.2">
      <c r="A45" t="s">
        <v>207</v>
      </c>
      <c r="C45" t="s">
        <v>208</v>
      </c>
      <c r="D45" t="s">
        <v>209</v>
      </c>
      <c r="E45" s="4">
        <v>159</v>
      </c>
      <c r="F45" s="4">
        <v>93</v>
      </c>
      <c r="G45">
        <v>66</v>
      </c>
      <c r="H45">
        <v>15</v>
      </c>
      <c r="I45">
        <v>-4.0999999999999996</v>
      </c>
      <c r="J45">
        <v>63</v>
      </c>
      <c r="K45">
        <v>107</v>
      </c>
      <c r="L45">
        <v>0.28000000000000003</v>
      </c>
      <c r="M45">
        <v>0.87</v>
      </c>
      <c r="N45" s="4">
        <v>35</v>
      </c>
      <c r="O45">
        <v>-4</v>
      </c>
      <c r="P45" s="4">
        <v>16</v>
      </c>
      <c r="Q45" s="4">
        <v>10</v>
      </c>
      <c r="R45">
        <v>17</v>
      </c>
      <c r="S45">
        <v>0.62</v>
      </c>
      <c r="T45">
        <v>0.06</v>
      </c>
      <c r="U45">
        <v>20</v>
      </c>
      <c r="V45">
        <v>0.12</v>
      </c>
      <c r="W45">
        <v>0.02</v>
      </c>
    </row>
    <row r="46" spans="1:23" x14ac:dyDescent="0.2">
      <c r="A46" t="s">
        <v>210</v>
      </c>
      <c r="C46" t="s">
        <v>211</v>
      </c>
      <c r="D46" t="s">
        <v>212</v>
      </c>
      <c r="E46" s="4">
        <v>171</v>
      </c>
      <c r="F46" s="4">
        <v>100</v>
      </c>
      <c r="G46">
        <v>71</v>
      </c>
      <c r="H46" s="4">
        <v>17</v>
      </c>
      <c r="I46" s="4">
        <v>-4.5999999999999996</v>
      </c>
      <c r="J46">
        <v>66</v>
      </c>
      <c r="K46">
        <v>107</v>
      </c>
      <c r="L46">
        <v>0.25</v>
      </c>
      <c r="M46">
        <v>0.79</v>
      </c>
      <c r="N46">
        <v>27</v>
      </c>
      <c r="O46">
        <v>-6</v>
      </c>
      <c r="P46">
        <v>14</v>
      </c>
      <c r="Q46" s="4">
        <v>10</v>
      </c>
      <c r="R46" s="4">
        <v>19</v>
      </c>
      <c r="S46" s="4">
        <v>0.98</v>
      </c>
      <c r="T46">
        <v>0.08</v>
      </c>
      <c r="U46">
        <v>11</v>
      </c>
      <c r="V46">
        <v>0</v>
      </c>
      <c r="W46">
        <v>0.03</v>
      </c>
    </row>
    <row r="47" spans="1:23" x14ac:dyDescent="0.2">
      <c r="A47" t="s">
        <v>213</v>
      </c>
      <c r="C47" t="s">
        <v>214</v>
      </c>
      <c r="D47" t="s">
        <v>215</v>
      </c>
      <c r="E47" s="4">
        <v>143</v>
      </c>
      <c r="F47">
        <v>70</v>
      </c>
      <c r="G47">
        <v>74</v>
      </c>
      <c r="H47">
        <v>15</v>
      </c>
      <c r="I47">
        <v>-3</v>
      </c>
      <c r="J47">
        <v>70</v>
      </c>
      <c r="K47">
        <v>113</v>
      </c>
      <c r="L47">
        <v>0.27</v>
      </c>
      <c r="M47">
        <v>0.55000000000000004</v>
      </c>
      <c r="N47" s="4">
        <v>32</v>
      </c>
      <c r="O47">
        <v>0</v>
      </c>
      <c r="P47">
        <v>13</v>
      </c>
      <c r="Q47" s="4">
        <v>10</v>
      </c>
      <c r="R47">
        <v>15</v>
      </c>
      <c r="S47" s="4">
        <v>0.94</v>
      </c>
      <c r="T47">
        <v>0.15</v>
      </c>
      <c r="U47">
        <v>14</v>
      </c>
      <c r="V47">
        <v>-0.22</v>
      </c>
      <c r="W47">
        <v>0.02</v>
      </c>
    </row>
    <row r="48" spans="1:23" x14ac:dyDescent="0.2">
      <c r="A48" t="s">
        <v>216</v>
      </c>
      <c r="C48" t="s">
        <v>217</v>
      </c>
      <c r="D48" t="s">
        <v>218</v>
      </c>
      <c r="E48">
        <v>129</v>
      </c>
      <c r="F48">
        <v>69</v>
      </c>
      <c r="G48">
        <v>60</v>
      </c>
      <c r="H48">
        <v>14</v>
      </c>
      <c r="I48">
        <v>-2.8</v>
      </c>
      <c r="J48">
        <v>70</v>
      </c>
      <c r="K48">
        <v>106</v>
      </c>
      <c r="L48">
        <v>0.23</v>
      </c>
      <c r="M48">
        <v>0.62</v>
      </c>
      <c r="N48">
        <v>28</v>
      </c>
      <c r="O48" s="4">
        <v>-7</v>
      </c>
      <c r="P48" s="4">
        <v>18</v>
      </c>
      <c r="Q48">
        <v>8</v>
      </c>
      <c r="R48">
        <v>12</v>
      </c>
      <c r="S48" s="4">
        <v>0.8</v>
      </c>
      <c r="T48">
        <v>0.16</v>
      </c>
      <c r="U48">
        <v>17</v>
      </c>
      <c r="V48">
        <v>-0.18</v>
      </c>
      <c r="W48">
        <v>0.03</v>
      </c>
    </row>
    <row r="49" spans="1:23" x14ac:dyDescent="0.2">
      <c r="A49" t="s">
        <v>219</v>
      </c>
      <c r="C49" t="s">
        <v>220</v>
      </c>
      <c r="D49" s="6" t="s">
        <v>221</v>
      </c>
      <c r="E49" s="4">
        <v>155</v>
      </c>
      <c r="F49" s="4">
        <v>86</v>
      </c>
      <c r="G49">
        <v>69</v>
      </c>
      <c r="H49" s="4">
        <v>18</v>
      </c>
      <c r="I49">
        <v>-4.4000000000000004</v>
      </c>
      <c r="J49">
        <v>67</v>
      </c>
      <c r="K49">
        <v>102</v>
      </c>
      <c r="L49">
        <v>0.22</v>
      </c>
      <c r="M49">
        <v>0.33</v>
      </c>
      <c r="N49" s="4">
        <v>31</v>
      </c>
      <c r="O49">
        <v>-1</v>
      </c>
      <c r="P49">
        <v>15</v>
      </c>
      <c r="Q49">
        <v>9</v>
      </c>
      <c r="R49">
        <v>18</v>
      </c>
      <c r="S49" s="4">
        <v>0.88</v>
      </c>
      <c r="T49">
        <v>0.13</v>
      </c>
      <c r="U49">
        <v>14</v>
      </c>
      <c r="V49">
        <v>-0.14000000000000001</v>
      </c>
      <c r="W49">
        <v>0.02</v>
      </c>
    </row>
    <row r="51" spans="1:23" x14ac:dyDescent="0.2">
      <c r="A51" t="s">
        <v>222</v>
      </c>
      <c r="C51" t="s">
        <v>223</v>
      </c>
      <c r="D51" t="s">
        <v>224</v>
      </c>
      <c r="E51" s="4">
        <v>168</v>
      </c>
      <c r="F51" s="4">
        <v>110</v>
      </c>
      <c r="G51">
        <v>57</v>
      </c>
      <c r="H51" s="4">
        <v>17</v>
      </c>
      <c r="I51" s="4">
        <v>-5.6</v>
      </c>
      <c r="J51">
        <v>67</v>
      </c>
      <c r="K51">
        <v>98</v>
      </c>
      <c r="L51">
        <v>0.19</v>
      </c>
      <c r="M51">
        <v>0.62</v>
      </c>
      <c r="N51">
        <v>29</v>
      </c>
      <c r="O51" s="4">
        <v>-7</v>
      </c>
      <c r="P51">
        <v>15</v>
      </c>
      <c r="Q51" s="4">
        <v>11</v>
      </c>
      <c r="R51" s="4">
        <v>19</v>
      </c>
      <c r="S51">
        <v>0.7</v>
      </c>
      <c r="T51" s="4">
        <v>-0.04</v>
      </c>
      <c r="U51">
        <v>16</v>
      </c>
      <c r="V51">
        <v>0.2</v>
      </c>
      <c r="W51">
        <v>0</v>
      </c>
    </row>
    <row r="52" spans="1:23" x14ac:dyDescent="0.2">
      <c r="A52" t="s">
        <v>225</v>
      </c>
      <c r="C52" t="s">
        <v>226</v>
      </c>
      <c r="D52" t="s">
        <v>227</v>
      </c>
      <c r="E52" s="4">
        <v>165</v>
      </c>
      <c r="F52" s="4">
        <v>99</v>
      </c>
      <c r="G52">
        <v>66</v>
      </c>
      <c r="H52" s="4">
        <v>17</v>
      </c>
      <c r="I52" s="4">
        <v>-5.8</v>
      </c>
      <c r="J52">
        <v>59</v>
      </c>
      <c r="K52">
        <v>98</v>
      </c>
      <c r="L52">
        <v>0.24</v>
      </c>
      <c r="M52">
        <v>0.75</v>
      </c>
      <c r="N52" s="4">
        <v>31</v>
      </c>
      <c r="O52">
        <v>-3</v>
      </c>
      <c r="P52" s="4">
        <v>16</v>
      </c>
      <c r="Q52" s="4">
        <v>11</v>
      </c>
      <c r="R52">
        <v>18</v>
      </c>
      <c r="S52">
        <v>0.52</v>
      </c>
      <c r="T52">
        <v>0</v>
      </c>
      <c r="U52">
        <v>26</v>
      </c>
      <c r="V52">
        <v>0.33</v>
      </c>
      <c r="W52">
        <v>0.01</v>
      </c>
    </row>
    <row r="53" spans="1:23" x14ac:dyDescent="0.2">
      <c r="A53" t="s">
        <v>228</v>
      </c>
      <c r="C53" t="s">
        <v>229</v>
      </c>
      <c r="D53" t="s">
        <v>230</v>
      </c>
      <c r="E53" s="4">
        <v>177</v>
      </c>
      <c r="F53" s="4">
        <v>106</v>
      </c>
      <c r="G53">
        <v>71</v>
      </c>
      <c r="H53" s="4">
        <v>18</v>
      </c>
      <c r="I53" s="4">
        <v>-6.2</v>
      </c>
      <c r="J53">
        <v>63</v>
      </c>
      <c r="K53">
        <v>98</v>
      </c>
      <c r="L53">
        <v>0.22</v>
      </c>
      <c r="M53">
        <v>0.66</v>
      </c>
      <c r="N53">
        <v>24</v>
      </c>
      <c r="O53">
        <v>-5</v>
      </c>
      <c r="P53">
        <v>14</v>
      </c>
      <c r="Q53" s="4">
        <v>11</v>
      </c>
      <c r="R53" s="4">
        <v>20</v>
      </c>
      <c r="S53" s="4">
        <v>0.88</v>
      </c>
      <c r="T53">
        <v>0.01</v>
      </c>
      <c r="U53">
        <v>16</v>
      </c>
      <c r="V53">
        <v>0.2</v>
      </c>
      <c r="W53">
        <v>0.02</v>
      </c>
    </row>
    <row r="54" spans="1:23" x14ac:dyDescent="0.2">
      <c r="A54" t="s">
        <v>231</v>
      </c>
      <c r="C54" t="s">
        <v>232</v>
      </c>
      <c r="D54" t="s">
        <v>233</v>
      </c>
      <c r="E54" s="4">
        <v>149</v>
      </c>
      <c r="F54">
        <v>75</v>
      </c>
      <c r="G54">
        <v>74</v>
      </c>
      <c r="H54" s="4">
        <v>17</v>
      </c>
      <c r="I54" s="4">
        <v>-4.5999999999999996</v>
      </c>
      <c r="J54">
        <v>66</v>
      </c>
      <c r="K54">
        <v>104</v>
      </c>
      <c r="L54">
        <v>0.23</v>
      </c>
      <c r="M54">
        <v>0.42</v>
      </c>
      <c r="N54">
        <v>29</v>
      </c>
      <c r="O54">
        <v>1</v>
      </c>
      <c r="P54">
        <v>13</v>
      </c>
      <c r="Q54" s="4">
        <v>11</v>
      </c>
      <c r="R54">
        <v>16</v>
      </c>
      <c r="S54" s="4">
        <v>0.84</v>
      </c>
      <c r="T54">
        <v>0.09</v>
      </c>
      <c r="U54">
        <v>20</v>
      </c>
      <c r="V54">
        <v>-0.02</v>
      </c>
      <c r="W54">
        <v>0.01</v>
      </c>
    </row>
    <row r="55" spans="1:23" x14ac:dyDescent="0.2">
      <c r="A55" t="s">
        <v>234</v>
      </c>
      <c r="C55" t="s">
        <v>235</v>
      </c>
      <c r="D55" t="s">
        <v>236</v>
      </c>
      <c r="E55">
        <v>135</v>
      </c>
      <c r="F55">
        <v>74</v>
      </c>
      <c r="G55">
        <v>61</v>
      </c>
      <c r="H55" s="4">
        <v>16</v>
      </c>
      <c r="I55">
        <v>-4.4000000000000004</v>
      </c>
      <c r="J55">
        <v>66</v>
      </c>
      <c r="K55">
        <v>97</v>
      </c>
      <c r="L55">
        <v>0.19</v>
      </c>
      <c r="M55">
        <v>0.49</v>
      </c>
      <c r="N55">
        <v>24</v>
      </c>
      <c r="O55">
        <v>-6</v>
      </c>
      <c r="P55">
        <v>18</v>
      </c>
      <c r="Q55">
        <v>9</v>
      </c>
      <c r="R55">
        <v>13</v>
      </c>
      <c r="S55" s="4">
        <v>0.7</v>
      </c>
      <c r="T55">
        <v>0.1</v>
      </c>
      <c r="U55">
        <v>23</v>
      </c>
      <c r="V55">
        <v>0.03</v>
      </c>
      <c r="W55">
        <v>0.02</v>
      </c>
    </row>
    <row r="56" spans="1:23" x14ac:dyDescent="0.2">
      <c r="A56" t="s">
        <v>237</v>
      </c>
      <c r="C56" t="s">
        <v>238</v>
      </c>
      <c r="D56" s="6" t="s">
        <v>239</v>
      </c>
      <c r="E56" s="4">
        <v>161</v>
      </c>
      <c r="F56" s="4">
        <v>92</v>
      </c>
      <c r="G56">
        <v>70</v>
      </c>
      <c r="H56" s="4">
        <v>19</v>
      </c>
      <c r="I56" s="4">
        <v>-6.1</v>
      </c>
      <c r="J56">
        <v>63</v>
      </c>
      <c r="K56">
        <v>93</v>
      </c>
      <c r="L56">
        <v>0.19</v>
      </c>
      <c r="M56" s="4">
        <v>0.2</v>
      </c>
      <c r="N56">
        <v>28</v>
      </c>
      <c r="O56">
        <v>0</v>
      </c>
      <c r="P56">
        <v>15</v>
      </c>
      <c r="Q56" s="4">
        <v>10</v>
      </c>
      <c r="R56">
        <v>18</v>
      </c>
      <c r="S56" s="4">
        <v>0.78</v>
      </c>
      <c r="T56">
        <v>0.06</v>
      </c>
      <c r="U56">
        <v>20</v>
      </c>
      <c r="V56">
        <v>7.0000000000000007E-2</v>
      </c>
      <c r="W56">
        <v>0.02</v>
      </c>
    </row>
    <row r="58" spans="1:23" x14ac:dyDescent="0.2">
      <c r="A58" t="s">
        <v>240</v>
      </c>
      <c r="C58" t="s">
        <v>241</v>
      </c>
      <c r="D58" t="s">
        <v>242</v>
      </c>
      <c r="E58" s="4">
        <v>174</v>
      </c>
      <c r="F58" s="4">
        <v>107</v>
      </c>
      <c r="G58">
        <v>67</v>
      </c>
      <c r="H58" s="4">
        <v>16</v>
      </c>
      <c r="I58" s="4">
        <v>-5.6</v>
      </c>
      <c r="J58">
        <v>69</v>
      </c>
      <c r="K58">
        <v>102</v>
      </c>
      <c r="L58">
        <v>0.21</v>
      </c>
      <c r="M58">
        <v>0.56000000000000005</v>
      </c>
      <c r="N58">
        <v>27</v>
      </c>
      <c r="O58">
        <v>-4</v>
      </c>
      <c r="P58" s="4">
        <v>16</v>
      </c>
      <c r="Q58" s="4">
        <v>11</v>
      </c>
      <c r="R58">
        <v>18</v>
      </c>
      <c r="S58" s="4">
        <v>0.75</v>
      </c>
      <c r="T58" s="4">
        <v>-0.06</v>
      </c>
      <c r="U58">
        <v>18</v>
      </c>
      <c r="V58">
        <v>0.3</v>
      </c>
      <c r="W58">
        <v>0</v>
      </c>
    </row>
    <row r="59" spans="1:23" x14ac:dyDescent="0.2">
      <c r="A59" t="s">
        <v>243</v>
      </c>
      <c r="C59" t="s">
        <v>244</v>
      </c>
      <c r="D59" t="s">
        <v>245</v>
      </c>
      <c r="E59" s="4">
        <v>171</v>
      </c>
      <c r="F59" s="4">
        <v>95</v>
      </c>
      <c r="G59">
        <v>76</v>
      </c>
      <c r="H59" s="4">
        <v>16</v>
      </c>
      <c r="I59" s="4">
        <v>-5.7</v>
      </c>
      <c r="J59">
        <v>60</v>
      </c>
      <c r="K59">
        <v>103</v>
      </c>
      <c r="L59">
        <v>0.26</v>
      </c>
      <c r="M59">
        <v>0.69</v>
      </c>
      <c r="N59">
        <v>29</v>
      </c>
      <c r="O59">
        <v>0</v>
      </c>
      <c r="P59" s="4">
        <v>17</v>
      </c>
      <c r="Q59" s="4">
        <v>11</v>
      </c>
      <c r="R59">
        <v>17</v>
      </c>
      <c r="S59">
        <v>0.56999999999999995</v>
      </c>
      <c r="T59" s="4">
        <v>-0.02</v>
      </c>
      <c r="U59">
        <v>27</v>
      </c>
      <c r="V59" s="4">
        <v>0.43</v>
      </c>
      <c r="W59">
        <v>0.02</v>
      </c>
    </row>
    <row r="60" spans="1:23" x14ac:dyDescent="0.2">
      <c r="A60" t="s">
        <v>246</v>
      </c>
      <c r="C60" t="s">
        <v>247</v>
      </c>
      <c r="D60" t="s">
        <v>248</v>
      </c>
      <c r="E60" s="4">
        <v>184</v>
      </c>
      <c r="F60" s="4">
        <v>103</v>
      </c>
      <c r="G60" s="4">
        <v>81</v>
      </c>
      <c r="H60" s="4">
        <v>18</v>
      </c>
      <c r="I60" s="4">
        <v>-6.1</v>
      </c>
      <c r="J60">
        <v>64</v>
      </c>
      <c r="K60">
        <v>102</v>
      </c>
      <c r="L60">
        <v>0.24</v>
      </c>
      <c r="M60">
        <v>0.6</v>
      </c>
      <c r="N60">
        <v>21</v>
      </c>
      <c r="O60">
        <v>-2</v>
      </c>
      <c r="P60">
        <v>15</v>
      </c>
      <c r="Q60" s="4">
        <v>11</v>
      </c>
      <c r="R60" s="4">
        <v>19</v>
      </c>
      <c r="S60" s="4">
        <v>0.93</v>
      </c>
      <c r="T60">
        <v>-0.01</v>
      </c>
      <c r="U60">
        <v>18</v>
      </c>
      <c r="V60">
        <v>0.31</v>
      </c>
      <c r="W60">
        <v>0.02</v>
      </c>
    </row>
    <row r="61" spans="1:23" x14ac:dyDescent="0.2">
      <c r="A61" t="s">
        <v>249</v>
      </c>
      <c r="C61" t="s">
        <v>250</v>
      </c>
      <c r="D61" t="s">
        <v>251</v>
      </c>
      <c r="E61" s="4">
        <v>156</v>
      </c>
      <c r="F61">
        <v>72</v>
      </c>
      <c r="G61" s="4">
        <v>84</v>
      </c>
      <c r="H61" s="4">
        <v>17</v>
      </c>
      <c r="I61" s="4">
        <v>-4.5999999999999996</v>
      </c>
      <c r="J61">
        <v>68</v>
      </c>
      <c r="K61">
        <v>108</v>
      </c>
      <c r="L61">
        <v>0.25</v>
      </c>
      <c r="M61">
        <v>0.36</v>
      </c>
      <c r="N61">
        <v>26</v>
      </c>
      <c r="O61">
        <v>4</v>
      </c>
      <c r="P61">
        <v>14</v>
      </c>
      <c r="Q61" s="4">
        <v>11</v>
      </c>
      <c r="R61">
        <v>15</v>
      </c>
      <c r="S61" s="4">
        <v>0.89</v>
      </c>
      <c r="T61">
        <v>7.0000000000000007E-2</v>
      </c>
      <c r="U61">
        <v>21</v>
      </c>
      <c r="V61">
        <v>0.08</v>
      </c>
      <c r="W61">
        <v>0.02</v>
      </c>
    </row>
    <row r="62" spans="1:23" x14ac:dyDescent="0.2">
      <c r="A62" t="s">
        <v>252</v>
      </c>
      <c r="C62" t="s">
        <v>253</v>
      </c>
      <c r="D62" t="s">
        <v>254</v>
      </c>
      <c r="E62" s="4">
        <v>142</v>
      </c>
      <c r="F62">
        <v>71</v>
      </c>
      <c r="G62">
        <v>71</v>
      </c>
      <c r="H62">
        <v>15</v>
      </c>
      <c r="I62">
        <v>-4.4000000000000004</v>
      </c>
      <c r="J62">
        <v>67</v>
      </c>
      <c r="K62">
        <v>101</v>
      </c>
      <c r="L62">
        <v>0.21</v>
      </c>
      <c r="M62">
        <v>0.44</v>
      </c>
      <c r="N62">
        <v>22</v>
      </c>
      <c r="O62">
        <v>-3</v>
      </c>
      <c r="P62" s="4">
        <v>19</v>
      </c>
      <c r="Q62">
        <v>9</v>
      </c>
      <c r="R62">
        <v>12</v>
      </c>
      <c r="S62" s="4">
        <v>0.75</v>
      </c>
      <c r="T62">
        <v>0.08</v>
      </c>
      <c r="U62">
        <v>25</v>
      </c>
      <c r="V62">
        <v>0.13</v>
      </c>
      <c r="W62">
        <v>0.02</v>
      </c>
    </row>
    <row r="63" spans="1:23" x14ac:dyDescent="0.2">
      <c r="A63" t="s">
        <v>255</v>
      </c>
      <c r="C63" t="s">
        <v>256</v>
      </c>
      <c r="D63" s="6" t="s">
        <v>257</v>
      </c>
      <c r="E63" s="4">
        <v>168</v>
      </c>
      <c r="F63" s="4">
        <v>88</v>
      </c>
      <c r="G63" s="4">
        <v>79</v>
      </c>
      <c r="H63" s="4">
        <v>19</v>
      </c>
      <c r="I63" s="4">
        <v>-6</v>
      </c>
      <c r="J63">
        <v>65</v>
      </c>
      <c r="K63">
        <v>97</v>
      </c>
      <c r="L63">
        <v>0.2</v>
      </c>
      <c r="M63">
        <v>0.15</v>
      </c>
      <c r="N63">
        <v>25</v>
      </c>
      <c r="O63">
        <v>4</v>
      </c>
      <c r="P63" s="4">
        <v>16</v>
      </c>
      <c r="Q63" s="4">
        <v>10</v>
      </c>
      <c r="R63">
        <v>18</v>
      </c>
      <c r="S63" s="4">
        <v>0.83</v>
      </c>
      <c r="T63">
        <v>0.05</v>
      </c>
      <c r="U63">
        <v>22</v>
      </c>
      <c r="V63">
        <v>0.17</v>
      </c>
      <c r="W63">
        <v>0.02</v>
      </c>
    </row>
    <row r="65" spans="1:23" x14ac:dyDescent="0.2">
      <c r="A65" t="s">
        <v>258</v>
      </c>
      <c r="C65" t="s">
        <v>259</v>
      </c>
      <c r="D65" t="s">
        <v>260</v>
      </c>
      <c r="E65" s="4">
        <v>173</v>
      </c>
      <c r="F65" s="4">
        <v>105</v>
      </c>
      <c r="G65">
        <v>68</v>
      </c>
      <c r="H65" s="4">
        <v>16</v>
      </c>
      <c r="I65" s="4">
        <v>-4.5999999999999996</v>
      </c>
      <c r="J65">
        <v>74</v>
      </c>
      <c r="K65">
        <v>110</v>
      </c>
      <c r="L65">
        <v>0.23</v>
      </c>
      <c r="M65">
        <v>0.69</v>
      </c>
      <c r="N65">
        <v>28</v>
      </c>
      <c r="O65">
        <v>-4</v>
      </c>
      <c r="P65">
        <v>14</v>
      </c>
      <c r="Q65" s="4">
        <v>11</v>
      </c>
      <c r="R65" s="4">
        <v>19</v>
      </c>
      <c r="S65" s="4">
        <v>0.72</v>
      </c>
      <c r="T65">
        <v>0.01</v>
      </c>
      <c r="U65">
        <v>26</v>
      </c>
      <c r="V65">
        <v>0.24</v>
      </c>
      <c r="W65">
        <v>0</v>
      </c>
    </row>
    <row r="66" spans="1:23" x14ac:dyDescent="0.2">
      <c r="A66" t="s">
        <v>261</v>
      </c>
      <c r="C66" t="s">
        <v>262</v>
      </c>
      <c r="D66" t="s">
        <v>263</v>
      </c>
      <c r="E66" s="4">
        <v>170</v>
      </c>
      <c r="F66" s="4">
        <v>93</v>
      </c>
      <c r="G66">
        <v>77</v>
      </c>
      <c r="H66" s="4">
        <v>16</v>
      </c>
      <c r="I66" s="4">
        <v>-4.7</v>
      </c>
      <c r="J66">
        <v>65</v>
      </c>
      <c r="K66">
        <v>110</v>
      </c>
      <c r="L66">
        <v>0.28000000000000003</v>
      </c>
      <c r="M66">
        <v>0.81</v>
      </c>
      <c r="N66" s="4">
        <v>30</v>
      </c>
      <c r="O66">
        <v>0</v>
      </c>
      <c r="P66" s="4">
        <v>16</v>
      </c>
      <c r="Q66" s="4">
        <v>11</v>
      </c>
      <c r="R66">
        <v>17</v>
      </c>
      <c r="S66">
        <v>0.53</v>
      </c>
      <c r="T66">
        <v>0.05</v>
      </c>
      <c r="U66">
        <v>35</v>
      </c>
      <c r="V66">
        <v>0.36</v>
      </c>
      <c r="W66">
        <v>0.02</v>
      </c>
    </row>
    <row r="67" spans="1:23" x14ac:dyDescent="0.2">
      <c r="A67" t="s">
        <v>264</v>
      </c>
      <c r="C67" t="s">
        <v>265</v>
      </c>
      <c r="D67" t="s">
        <v>266</v>
      </c>
      <c r="E67" s="4">
        <v>182</v>
      </c>
      <c r="F67" s="4">
        <v>100</v>
      </c>
      <c r="G67" s="4">
        <v>82</v>
      </c>
      <c r="H67" s="4">
        <v>18</v>
      </c>
      <c r="I67" s="4">
        <v>-5.0999999999999996</v>
      </c>
      <c r="J67">
        <v>69</v>
      </c>
      <c r="K67">
        <v>110</v>
      </c>
      <c r="L67">
        <v>0.25</v>
      </c>
      <c r="M67">
        <v>0.73</v>
      </c>
      <c r="N67">
        <v>22</v>
      </c>
      <c r="O67">
        <v>-2</v>
      </c>
      <c r="P67">
        <v>13</v>
      </c>
      <c r="Q67" s="4">
        <v>11</v>
      </c>
      <c r="R67" s="4">
        <v>19</v>
      </c>
      <c r="S67" s="4">
        <v>0.89</v>
      </c>
      <c r="T67">
        <v>0.06</v>
      </c>
      <c r="U67">
        <v>26</v>
      </c>
      <c r="V67">
        <v>0.24</v>
      </c>
      <c r="W67">
        <v>0.02</v>
      </c>
    </row>
    <row r="68" spans="1:23" x14ac:dyDescent="0.2">
      <c r="A68" t="s">
        <v>267</v>
      </c>
      <c r="C68" t="s">
        <v>268</v>
      </c>
      <c r="D68" t="s">
        <v>269</v>
      </c>
      <c r="E68" s="4">
        <v>155</v>
      </c>
      <c r="F68">
        <v>70</v>
      </c>
      <c r="G68" s="4">
        <v>85</v>
      </c>
      <c r="H68" s="4">
        <v>16</v>
      </c>
      <c r="I68">
        <v>-3.6</v>
      </c>
      <c r="J68">
        <v>73</v>
      </c>
      <c r="K68">
        <v>116</v>
      </c>
      <c r="L68">
        <v>0.27</v>
      </c>
      <c r="M68">
        <v>0.49</v>
      </c>
      <c r="N68">
        <v>27</v>
      </c>
      <c r="O68">
        <v>4</v>
      </c>
      <c r="P68">
        <v>13</v>
      </c>
      <c r="Q68" s="4">
        <v>11</v>
      </c>
      <c r="R68">
        <v>15</v>
      </c>
      <c r="S68" s="4">
        <v>0.86</v>
      </c>
      <c r="T68">
        <v>0.14000000000000001</v>
      </c>
      <c r="U68">
        <v>30</v>
      </c>
      <c r="V68">
        <v>0.02</v>
      </c>
      <c r="W68">
        <v>0.02</v>
      </c>
    </row>
    <row r="69" spans="1:23" x14ac:dyDescent="0.2">
      <c r="A69" t="s">
        <v>270</v>
      </c>
      <c r="C69" t="s">
        <v>271</v>
      </c>
      <c r="D69" t="s">
        <v>272</v>
      </c>
      <c r="E69">
        <v>140</v>
      </c>
      <c r="F69">
        <v>69</v>
      </c>
      <c r="G69">
        <v>72</v>
      </c>
      <c r="H69">
        <v>15</v>
      </c>
      <c r="I69">
        <v>-3.4</v>
      </c>
      <c r="J69">
        <v>72</v>
      </c>
      <c r="K69">
        <v>109</v>
      </c>
      <c r="L69">
        <v>0.23</v>
      </c>
      <c r="M69">
        <v>0.56000000000000005</v>
      </c>
      <c r="N69">
        <v>23</v>
      </c>
      <c r="O69">
        <v>-3</v>
      </c>
      <c r="P69" s="4">
        <v>18</v>
      </c>
      <c r="Q69">
        <v>9</v>
      </c>
      <c r="R69">
        <v>12</v>
      </c>
      <c r="S69" s="4">
        <v>0.72</v>
      </c>
      <c r="T69">
        <v>0.15</v>
      </c>
      <c r="U69">
        <v>33</v>
      </c>
      <c r="V69">
        <v>0.06</v>
      </c>
      <c r="W69">
        <v>0.03</v>
      </c>
    </row>
    <row r="70" spans="1:23" x14ac:dyDescent="0.2">
      <c r="A70" t="s">
        <v>273</v>
      </c>
      <c r="C70" t="s">
        <v>274</v>
      </c>
      <c r="D70" s="6" t="s">
        <v>275</v>
      </c>
      <c r="E70" s="4">
        <v>166</v>
      </c>
      <c r="F70" s="4">
        <v>86</v>
      </c>
      <c r="G70" s="4">
        <v>80</v>
      </c>
      <c r="H70" s="4">
        <v>19</v>
      </c>
      <c r="I70" s="4">
        <v>-5</v>
      </c>
      <c r="J70">
        <v>70</v>
      </c>
      <c r="K70">
        <v>105</v>
      </c>
      <c r="L70">
        <v>0.22</v>
      </c>
      <c r="M70">
        <v>0.28000000000000003</v>
      </c>
      <c r="N70">
        <v>26</v>
      </c>
      <c r="O70">
        <v>3</v>
      </c>
      <c r="P70">
        <v>15</v>
      </c>
      <c r="Q70" s="4">
        <v>10</v>
      </c>
      <c r="R70">
        <v>18</v>
      </c>
      <c r="S70">
        <v>0.8</v>
      </c>
      <c r="T70">
        <v>0.11</v>
      </c>
      <c r="U70">
        <v>30</v>
      </c>
      <c r="V70">
        <v>0.11</v>
      </c>
      <c r="W70">
        <v>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FD12-6772-3E4F-9C85-DF2F2E01918D}">
  <dimension ref="A2:X69"/>
  <sheetViews>
    <sheetView workbookViewId="0">
      <pane ySplit="740" activePane="bottomLeft"/>
      <selection activeCell="E1" sqref="A1:XFD1"/>
      <selection pane="bottomLeft" activeCell="E3" sqref="E3"/>
    </sheetView>
  </sheetViews>
  <sheetFormatPr baseColWidth="10" defaultColWidth="8.83203125" defaultRowHeight="15" x14ac:dyDescent="0.2"/>
  <cols>
    <col min="1" max="1" width="7.6640625" bestFit="1" customWidth="1"/>
    <col min="2" max="2" width="4.5" bestFit="1" customWidth="1"/>
    <col min="3" max="3" width="13.5" bestFit="1" customWidth="1"/>
    <col min="4" max="4" width="13.5" customWidth="1"/>
    <col min="5" max="5" width="56.83203125" bestFit="1" customWidth="1"/>
    <col min="6" max="6" width="6" bestFit="1" customWidth="1"/>
    <col min="7" max="7" width="4.83203125" bestFit="1" customWidth="1"/>
    <col min="8" max="9" width="4.6640625" bestFit="1" customWidth="1"/>
    <col min="10" max="10" width="4.5" bestFit="1" customWidth="1"/>
    <col min="11" max="12" width="5.1640625" bestFit="1" customWidth="1"/>
    <col min="13" max="13" width="6.33203125" customWidth="1"/>
    <col min="14" max="14" width="5.33203125" customWidth="1"/>
    <col min="15" max="16" width="5" bestFit="1" customWidth="1"/>
    <col min="17" max="18" width="5.6640625" bestFit="1" customWidth="1"/>
    <col min="19" max="19" width="5.83203125" bestFit="1" customWidth="1"/>
    <col min="20" max="20" width="6" customWidth="1"/>
    <col min="21" max="21" width="5.83203125" bestFit="1" customWidth="1"/>
    <col min="22" max="22" width="5.1640625" bestFit="1" customWidth="1"/>
    <col min="23" max="23" width="5.6640625" customWidth="1"/>
    <col min="24" max="24" width="7" customWidth="1"/>
  </cols>
  <sheetData>
    <row r="2" spans="1:24" x14ac:dyDescent="0.2">
      <c r="E2" s="9" t="s">
        <v>311</v>
      </c>
    </row>
    <row r="4" spans="1:24" x14ac:dyDescent="0.2">
      <c r="A4" t="s">
        <v>0</v>
      </c>
      <c r="B4" t="s">
        <v>2</v>
      </c>
      <c r="C4" t="s">
        <v>306</v>
      </c>
      <c r="D4" t="s">
        <v>307</v>
      </c>
      <c r="E4" t="s">
        <v>4</v>
      </c>
      <c r="F4" t="s">
        <v>85</v>
      </c>
      <c r="G4" t="s">
        <v>8</v>
      </c>
      <c r="H4" t="s">
        <v>9</v>
      </c>
      <c r="I4" t="s">
        <v>86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87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88</v>
      </c>
    </row>
    <row r="5" spans="1:24" x14ac:dyDescent="0.2">
      <c r="A5" t="s">
        <v>99</v>
      </c>
      <c r="C5" t="s">
        <v>290</v>
      </c>
      <c r="D5" s="5" t="s">
        <v>305</v>
      </c>
      <c r="E5" t="s">
        <v>101</v>
      </c>
      <c r="F5">
        <v>140</v>
      </c>
      <c r="G5" s="4">
        <v>84</v>
      </c>
      <c r="H5">
        <v>57</v>
      </c>
      <c r="I5" s="4">
        <v>17</v>
      </c>
      <c r="J5" s="4">
        <v>-4.7</v>
      </c>
      <c r="K5">
        <v>62</v>
      </c>
      <c r="L5">
        <v>103</v>
      </c>
      <c r="M5">
        <v>0.25</v>
      </c>
      <c r="N5">
        <v>0.65</v>
      </c>
      <c r="O5">
        <v>29</v>
      </c>
      <c r="P5">
        <v>3</v>
      </c>
      <c r="Q5">
        <v>15</v>
      </c>
      <c r="R5" s="4">
        <v>11</v>
      </c>
      <c r="S5">
        <v>17</v>
      </c>
      <c r="T5">
        <v>0.46</v>
      </c>
      <c r="U5">
        <v>0.1</v>
      </c>
      <c r="V5">
        <v>24</v>
      </c>
      <c r="W5">
        <v>0.14000000000000001</v>
      </c>
      <c r="X5">
        <v>0.03</v>
      </c>
    </row>
    <row r="6" spans="1:24" x14ac:dyDescent="0.2">
      <c r="A6" t="s">
        <v>117</v>
      </c>
      <c r="C6" t="s">
        <v>296</v>
      </c>
      <c r="D6" s="5" t="s">
        <v>305</v>
      </c>
      <c r="E6" t="s">
        <v>119</v>
      </c>
      <c r="F6" s="4">
        <v>153</v>
      </c>
      <c r="G6" s="4">
        <v>80</v>
      </c>
      <c r="H6">
        <v>72</v>
      </c>
      <c r="I6">
        <v>15</v>
      </c>
      <c r="J6" s="4">
        <v>-5.3</v>
      </c>
      <c r="K6">
        <v>58</v>
      </c>
      <c r="L6">
        <v>102</v>
      </c>
      <c r="M6">
        <v>0.27</v>
      </c>
      <c r="N6">
        <v>0.83</v>
      </c>
      <c r="O6" s="4">
        <v>31</v>
      </c>
      <c r="P6">
        <v>-1</v>
      </c>
      <c r="Q6" s="4">
        <v>17</v>
      </c>
      <c r="R6" s="4">
        <v>10</v>
      </c>
      <c r="S6">
        <v>15</v>
      </c>
      <c r="T6">
        <v>0.44</v>
      </c>
      <c r="U6">
        <v>0.01</v>
      </c>
      <c r="V6">
        <v>33</v>
      </c>
      <c r="W6" s="4">
        <v>0.41</v>
      </c>
      <c r="X6">
        <v>0.01</v>
      </c>
    </row>
    <row r="7" spans="1:24" x14ac:dyDescent="0.2">
      <c r="A7" t="s">
        <v>135</v>
      </c>
      <c r="C7" s="7" t="s">
        <v>297</v>
      </c>
      <c r="D7" s="8" t="s">
        <v>305</v>
      </c>
      <c r="E7" s="7" t="s">
        <v>137</v>
      </c>
      <c r="F7" s="4">
        <v>149</v>
      </c>
      <c r="G7" s="4">
        <v>85</v>
      </c>
      <c r="H7">
        <v>64</v>
      </c>
      <c r="I7">
        <v>15</v>
      </c>
      <c r="J7">
        <v>-3.6</v>
      </c>
      <c r="K7">
        <v>64</v>
      </c>
      <c r="L7">
        <v>111</v>
      </c>
      <c r="M7">
        <v>0.3</v>
      </c>
      <c r="N7">
        <v>1.07</v>
      </c>
      <c r="O7" s="4">
        <v>36</v>
      </c>
      <c r="P7">
        <v>5</v>
      </c>
      <c r="Q7">
        <v>15</v>
      </c>
      <c r="R7">
        <v>9</v>
      </c>
      <c r="S7">
        <v>18</v>
      </c>
      <c r="T7">
        <v>0.48</v>
      </c>
      <c r="U7">
        <v>0</v>
      </c>
      <c r="V7">
        <v>26</v>
      </c>
      <c r="W7" s="4">
        <v>0.47</v>
      </c>
      <c r="X7">
        <v>0.03</v>
      </c>
    </row>
    <row r="8" spans="1:24" x14ac:dyDescent="0.2">
      <c r="A8" t="s">
        <v>153</v>
      </c>
      <c r="C8" t="s">
        <v>298</v>
      </c>
      <c r="D8" s="5" t="s">
        <v>305</v>
      </c>
      <c r="E8" t="s">
        <v>155</v>
      </c>
      <c r="F8" s="4">
        <v>163</v>
      </c>
      <c r="G8" s="4">
        <v>91</v>
      </c>
      <c r="H8">
        <v>71</v>
      </c>
      <c r="I8">
        <v>15</v>
      </c>
      <c r="J8">
        <v>-4.4000000000000004</v>
      </c>
      <c r="K8">
        <v>70</v>
      </c>
      <c r="L8">
        <v>117</v>
      </c>
      <c r="M8">
        <v>0.3</v>
      </c>
      <c r="N8">
        <v>1.07</v>
      </c>
      <c r="O8" s="4">
        <v>36</v>
      </c>
      <c r="P8">
        <v>-1</v>
      </c>
      <c r="Q8">
        <v>14</v>
      </c>
      <c r="R8" s="4">
        <v>10</v>
      </c>
      <c r="S8">
        <v>18</v>
      </c>
      <c r="T8">
        <v>0.48</v>
      </c>
      <c r="U8">
        <v>0.04</v>
      </c>
      <c r="V8">
        <v>37</v>
      </c>
      <c r="W8" s="4">
        <v>0.41</v>
      </c>
      <c r="X8">
        <v>0.02</v>
      </c>
    </row>
    <row r="9" spans="1:24" x14ac:dyDescent="0.2">
      <c r="A9" t="s">
        <v>171</v>
      </c>
      <c r="C9" t="s">
        <v>299</v>
      </c>
      <c r="D9" s="5" t="s">
        <v>305</v>
      </c>
      <c r="E9" s="4" t="s">
        <v>173</v>
      </c>
      <c r="F9" s="4">
        <v>173</v>
      </c>
      <c r="G9" s="4">
        <v>100</v>
      </c>
      <c r="H9">
        <v>73</v>
      </c>
      <c r="I9" s="4">
        <v>16</v>
      </c>
      <c r="J9" s="4">
        <v>-4.5999999999999996</v>
      </c>
      <c r="K9">
        <v>63</v>
      </c>
      <c r="L9">
        <v>106</v>
      </c>
      <c r="M9">
        <v>0.26</v>
      </c>
      <c r="N9">
        <v>0.72</v>
      </c>
      <c r="O9" s="4">
        <v>31</v>
      </c>
      <c r="P9">
        <v>-1</v>
      </c>
      <c r="Q9" s="4">
        <v>18</v>
      </c>
      <c r="R9" s="4">
        <v>11</v>
      </c>
      <c r="S9">
        <v>17</v>
      </c>
      <c r="T9">
        <v>0.52</v>
      </c>
      <c r="U9">
        <v>0</v>
      </c>
      <c r="V9">
        <v>31</v>
      </c>
      <c r="W9" s="4">
        <v>0.44</v>
      </c>
      <c r="X9">
        <v>0.02</v>
      </c>
    </row>
    <row r="10" spans="1:24" x14ac:dyDescent="0.2">
      <c r="A10" t="s">
        <v>189</v>
      </c>
      <c r="C10" t="s">
        <v>300</v>
      </c>
      <c r="D10" s="5" t="s">
        <v>305</v>
      </c>
      <c r="E10" t="s">
        <v>191</v>
      </c>
      <c r="F10" s="4">
        <v>146</v>
      </c>
      <c r="G10" s="4">
        <v>83</v>
      </c>
      <c r="H10">
        <v>63</v>
      </c>
      <c r="I10">
        <v>15</v>
      </c>
      <c r="J10">
        <v>-4.4000000000000004</v>
      </c>
      <c r="K10">
        <v>64</v>
      </c>
      <c r="L10">
        <v>109</v>
      </c>
      <c r="M10">
        <v>0.28999999999999998</v>
      </c>
      <c r="N10">
        <v>0.75</v>
      </c>
      <c r="O10" s="4">
        <v>33</v>
      </c>
      <c r="P10">
        <v>4</v>
      </c>
      <c r="Q10">
        <v>14</v>
      </c>
      <c r="R10" s="4">
        <v>10</v>
      </c>
      <c r="S10">
        <v>17</v>
      </c>
      <c r="T10">
        <v>0.52</v>
      </c>
      <c r="U10">
        <v>0.09</v>
      </c>
      <c r="V10">
        <v>22</v>
      </c>
      <c r="W10">
        <v>0.24</v>
      </c>
      <c r="X10">
        <v>0.04</v>
      </c>
    </row>
    <row r="11" spans="1:24" x14ac:dyDescent="0.2">
      <c r="A11" t="s">
        <v>207</v>
      </c>
      <c r="C11" t="s">
        <v>301</v>
      </c>
      <c r="D11" s="5" t="s">
        <v>305</v>
      </c>
      <c r="E11" t="s">
        <v>209</v>
      </c>
      <c r="F11" s="4">
        <v>159</v>
      </c>
      <c r="G11" s="4">
        <v>93</v>
      </c>
      <c r="H11">
        <v>66</v>
      </c>
      <c r="I11">
        <v>15</v>
      </c>
      <c r="J11">
        <v>-4.0999999999999996</v>
      </c>
      <c r="K11">
        <v>63</v>
      </c>
      <c r="L11">
        <v>107</v>
      </c>
      <c r="M11">
        <v>0.28000000000000003</v>
      </c>
      <c r="N11">
        <v>0.87</v>
      </c>
      <c r="O11" s="4">
        <v>35</v>
      </c>
      <c r="P11">
        <v>-4</v>
      </c>
      <c r="Q11" s="4">
        <v>16</v>
      </c>
      <c r="R11" s="4">
        <v>10</v>
      </c>
      <c r="S11">
        <v>17</v>
      </c>
      <c r="T11">
        <v>0.62</v>
      </c>
      <c r="U11">
        <v>0.06</v>
      </c>
      <c r="V11">
        <v>20</v>
      </c>
      <c r="W11">
        <v>0.12</v>
      </c>
      <c r="X11">
        <v>0.02</v>
      </c>
    </row>
    <row r="12" spans="1:24" x14ac:dyDescent="0.2">
      <c r="A12" t="s">
        <v>225</v>
      </c>
      <c r="C12" t="s">
        <v>302</v>
      </c>
      <c r="D12" s="5" t="s">
        <v>305</v>
      </c>
      <c r="E12" t="s">
        <v>227</v>
      </c>
      <c r="F12" s="4">
        <v>165</v>
      </c>
      <c r="G12" s="4">
        <v>99</v>
      </c>
      <c r="H12">
        <v>66</v>
      </c>
      <c r="I12" s="4">
        <v>17</v>
      </c>
      <c r="J12" s="4">
        <v>-5.8</v>
      </c>
      <c r="K12">
        <v>59</v>
      </c>
      <c r="L12">
        <v>98</v>
      </c>
      <c r="M12">
        <v>0.24</v>
      </c>
      <c r="N12">
        <v>0.75</v>
      </c>
      <c r="O12" s="4">
        <v>31</v>
      </c>
      <c r="P12">
        <v>-3</v>
      </c>
      <c r="Q12" s="4">
        <v>16</v>
      </c>
      <c r="R12" s="4">
        <v>11</v>
      </c>
      <c r="S12">
        <v>18</v>
      </c>
      <c r="T12">
        <v>0.52</v>
      </c>
      <c r="U12">
        <v>0</v>
      </c>
      <c r="V12">
        <v>26</v>
      </c>
      <c r="W12">
        <v>0.33</v>
      </c>
      <c r="X12">
        <v>0.01</v>
      </c>
    </row>
    <row r="13" spans="1:24" x14ac:dyDescent="0.2">
      <c r="A13" t="s">
        <v>243</v>
      </c>
      <c r="C13" t="s">
        <v>303</v>
      </c>
      <c r="D13" s="5" t="s">
        <v>305</v>
      </c>
      <c r="E13" t="s">
        <v>245</v>
      </c>
      <c r="F13" s="4">
        <v>171</v>
      </c>
      <c r="G13" s="4">
        <v>95</v>
      </c>
      <c r="H13">
        <v>76</v>
      </c>
      <c r="I13" s="4">
        <v>16</v>
      </c>
      <c r="J13" s="4">
        <v>-5.7</v>
      </c>
      <c r="K13">
        <v>60</v>
      </c>
      <c r="L13">
        <v>103</v>
      </c>
      <c r="M13">
        <v>0.26</v>
      </c>
      <c r="N13">
        <v>0.69</v>
      </c>
      <c r="O13">
        <v>29</v>
      </c>
      <c r="P13">
        <v>0</v>
      </c>
      <c r="Q13" s="4">
        <v>17</v>
      </c>
      <c r="R13" s="4">
        <v>11</v>
      </c>
      <c r="S13">
        <v>17</v>
      </c>
      <c r="T13">
        <v>0.56999999999999995</v>
      </c>
      <c r="U13" s="4">
        <v>-0.02</v>
      </c>
      <c r="V13">
        <v>27</v>
      </c>
      <c r="W13" s="4">
        <v>0.43</v>
      </c>
      <c r="X13">
        <v>0.02</v>
      </c>
    </row>
    <row r="14" spans="1:24" x14ac:dyDescent="0.2">
      <c r="A14" t="s">
        <v>261</v>
      </c>
      <c r="C14" t="s">
        <v>304</v>
      </c>
      <c r="D14" s="5" t="s">
        <v>305</v>
      </c>
      <c r="E14" t="s">
        <v>263</v>
      </c>
      <c r="F14" s="4">
        <v>170</v>
      </c>
      <c r="G14" s="4">
        <v>93</v>
      </c>
      <c r="H14">
        <v>77</v>
      </c>
      <c r="I14" s="4">
        <v>16</v>
      </c>
      <c r="J14" s="4">
        <v>-4.7</v>
      </c>
      <c r="K14">
        <v>65</v>
      </c>
      <c r="L14">
        <v>110</v>
      </c>
      <c r="M14">
        <v>0.28000000000000003</v>
      </c>
      <c r="N14">
        <v>0.81</v>
      </c>
      <c r="O14" s="4">
        <v>30</v>
      </c>
      <c r="P14">
        <v>0</v>
      </c>
      <c r="Q14" s="4">
        <v>16</v>
      </c>
      <c r="R14" s="4">
        <v>11</v>
      </c>
      <c r="S14">
        <v>17</v>
      </c>
      <c r="T14">
        <v>0.53</v>
      </c>
      <c r="U14">
        <v>0.05</v>
      </c>
      <c r="V14">
        <v>35</v>
      </c>
      <c r="W14">
        <v>0.36</v>
      </c>
      <c r="X14">
        <v>0.02</v>
      </c>
    </row>
    <row r="15" spans="1:24" x14ac:dyDescent="0.2">
      <c r="D15" s="5"/>
    </row>
    <row r="16" spans="1:24" x14ac:dyDescent="0.2">
      <c r="A16" t="s">
        <v>105</v>
      </c>
      <c r="C16" t="s">
        <v>290</v>
      </c>
      <c r="D16" t="s">
        <v>293</v>
      </c>
      <c r="E16" t="s">
        <v>107</v>
      </c>
      <c r="F16">
        <v>125</v>
      </c>
      <c r="G16">
        <v>60</v>
      </c>
      <c r="H16">
        <v>65</v>
      </c>
      <c r="I16" s="4">
        <v>17</v>
      </c>
      <c r="J16">
        <v>-3.6</v>
      </c>
      <c r="K16">
        <v>69</v>
      </c>
      <c r="L16">
        <v>108</v>
      </c>
      <c r="M16">
        <v>0.24</v>
      </c>
      <c r="N16">
        <v>0.33</v>
      </c>
      <c r="O16">
        <v>26</v>
      </c>
      <c r="P16">
        <v>6</v>
      </c>
      <c r="Q16">
        <v>12</v>
      </c>
      <c r="R16" s="4">
        <v>10</v>
      </c>
      <c r="S16">
        <v>15</v>
      </c>
      <c r="T16" s="4">
        <v>0.79</v>
      </c>
      <c r="U16">
        <v>0.19</v>
      </c>
      <c r="V16">
        <v>18</v>
      </c>
      <c r="W16">
        <v>-0.2</v>
      </c>
      <c r="X16">
        <v>0.03</v>
      </c>
    </row>
    <row r="17" spans="1:24" x14ac:dyDescent="0.2">
      <c r="A17" t="s">
        <v>123</v>
      </c>
      <c r="C17" t="s">
        <v>296</v>
      </c>
      <c r="D17" t="s">
        <v>293</v>
      </c>
      <c r="E17" t="s">
        <v>125</v>
      </c>
      <c r="F17">
        <v>137</v>
      </c>
      <c r="G17">
        <v>57</v>
      </c>
      <c r="H17" s="4">
        <v>80</v>
      </c>
      <c r="I17" s="4">
        <v>16</v>
      </c>
      <c r="J17">
        <v>-4.2</v>
      </c>
      <c r="K17">
        <v>66</v>
      </c>
      <c r="L17">
        <v>108</v>
      </c>
      <c r="M17">
        <v>0.26</v>
      </c>
      <c r="N17">
        <v>0.5</v>
      </c>
      <c r="O17">
        <v>29</v>
      </c>
      <c r="P17">
        <v>2</v>
      </c>
      <c r="Q17">
        <v>14</v>
      </c>
      <c r="R17" s="4">
        <v>10</v>
      </c>
      <c r="S17">
        <v>13</v>
      </c>
      <c r="T17" s="4">
        <v>0.76</v>
      </c>
      <c r="U17">
        <v>0.1</v>
      </c>
      <c r="V17">
        <v>28</v>
      </c>
      <c r="W17">
        <v>0.06</v>
      </c>
      <c r="X17">
        <v>0.02</v>
      </c>
    </row>
    <row r="18" spans="1:24" x14ac:dyDescent="0.2">
      <c r="A18" t="s">
        <v>141</v>
      </c>
      <c r="C18" t="s">
        <v>297</v>
      </c>
      <c r="D18" t="s">
        <v>293</v>
      </c>
      <c r="E18" t="s">
        <v>143</v>
      </c>
      <c r="F18">
        <v>134</v>
      </c>
      <c r="G18">
        <v>62</v>
      </c>
      <c r="H18">
        <v>72</v>
      </c>
      <c r="I18">
        <v>15</v>
      </c>
      <c r="J18">
        <v>-2.4</v>
      </c>
      <c r="K18">
        <v>71</v>
      </c>
      <c r="L18">
        <v>117</v>
      </c>
      <c r="M18">
        <v>0.28999999999999998</v>
      </c>
      <c r="N18">
        <v>0.75</v>
      </c>
      <c r="O18" s="4">
        <v>34</v>
      </c>
      <c r="P18">
        <v>9</v>
      </c>
      <c r="Q18">
        <v>12</v>
      </c>
      <c r="R18">
        <v>9</v>
      </c>
      <c r="S18">
        <v>16</v>
      </c>
      <c r="T18" s="4">
        <v>0.81</v>
      </c>
      <c r="U18">
        <v>0.09</v>
      </c>
      <c r="V18">
        <v>20</v>
      </c>
      <c r="W18">
        <v>0.13</v>
      </c>
      <c r="X18">
        <v>0.04</v>
      </c>
    </row>
    <row r="19" spans="1:24" x14ac:dyDescent="0.2">
      <c r="A19" t="s">
        <v>159</v>
      </c>
      <c r="C19" t="s">
        <v>298</v>
      </c>
      <c r="D19" t="s">
        <v>293</v>
      </c>
      <c r="E19" t="s">
        <v>161</v>
      </c>
      <c r="F19" s="4">
        <v>147</v>
      </c>
      <c r="G19">
        <v>68</v>
      </c>
      <c r="H19" s="4">
        <v>79</v>
      </c>
      <c r="I19" s="4">
        <v>16</v>
      </c>
      <c r="J19">
        <v>-3.3</v>
      </c>
      <c r="K19">
        <v>77</v>
      </c>
      <c r="L19">
        <v>123</v>
      </c>
      <c r="M19">
        <v>0.28999999999999998</v>
      </c>
      <c r="N19">
        <v>0.74</v>
      </c>
      <c r="O19" s="4">
        <v>34</v>
      </c>
      <c r="P19">
        <v>3</v>
      </c>
      <c r="Q19">
        <v>11</v>
      </c>
      <c r="R19">
        <v>9</v>
      </c>
      <c r="S19">
        <v>16</v>
      </c>
      <c r="T19" s="4">
        <v>0.81</v>
      </c>
      <c r="U19">
        <v>0.12</v>
      </c>
      <c r="V19">
        <v>31</v>
      </c>
      <c r="W19">
        <v>7.0000000000000007E-2</v>
      </c>
      <c r="X19">
        <v>0.02</v>
      </c>
    </row>
    <row r="20" spans="1:24" x14ac:dyDescent="0.2">
      <c r="A20" t="s">
        <v>177</v>
      </c>
      <c r="C20" t="s">
        <v>299</v>
      </c>
      <c r="D20" t="s">
        <v>293</v>
      </c>
      <c r="E20" t="s">
        <v>179</v>
      </c>
      <c r="F20" s="4">
        <v>158</v>
      </c>
      <c r="G20">
        <v>77</v>
      </c>
      <c r="H20" s="4">
        <v>81</v>
      </c>
      <c r="I20" s="4">
        <v>16</v>
      </c>
      <c r="J20">
        <v>-3.5</v>
      </c>
      <c r="K20">
        <v>71</v>
      </c>
      <c r="L20">
        <v>111</v>
      </c>
      <c r="M20">
        <v>0.25</v>
      </c>
      <c r="N20">
        <v>0.4</v>
      </c>
      <c r="O20">
        <v>29</v>
      </c>
      <c r="P20">
        <v>2</v>
      </c>
      <c r="Q20">
        <v>15</v>
      </c>
      <c r="R20" s="4">
        <v>11</v>
      </c>
      <c r="S20">
        <v>15</v>
      </c>
      <c r="T20" s="4">
        <v>0.85</v>
      </c>
      <c r="U20">
        <v>0.09</v>
      </c>
      <c r="V20">
        <v>25</v>
      </c>
      <c r="W20">
        <v>0.09</v>
      </c>
      <c r="X20">
        <v>0.02</v>
      </c>
    </row>
    <row r="21" spans="1:24" x14ac:dyDescent="0.2">
      <c r="A21" t="s">
        <v>195</v>
      </c>
      <c r="C21" t="s">
        <v>300</v>
      </c>
      <c r="D21" t="s">
        <v>293</v>
      </c>
      <c r="E21" t="s">
        <v>197</v>
      </c>
      <c r="F21">
        <v>131</v>
      </c>
      <c r="G21">
        <v>59</v>
      </c>
      <c r="H21">
        <v>71</v>
      </c>
      <c r="I21" s="4">
        <v>16</v>
      </c>
      <c r="J21">
        <v>-3.3</v>
      </c>
      <c r="K21">
        <v>71</v>
      </c>
      <c r="L21">
        <v>115</v>
      </c>
      <c r="M21">
        <v>0.27</v>
      </c>
      <c r="N21">
        <v>0.43</v>
      </c>
      <c r="O21" s="4">
        <v>30</v>
      </c>
      <c r="P21">
        <v>7</v>
      </c>
      <c r="Q21">
        <v>11</v>
      </c>
      <c r="R21" s="4">
        <v>10</v>
      </c>
      <c r="S21">
        <v>15</v>
      </c>
      <c r="T21" s="4">
        <v>0.85</v>
      </c>
      <c r="U21">
        <v>0.18</v>
      </c>
      <c r="V21">
        <v>16</v>
      </c>
      <c r="W21">
        <v>-0.11</v>
      </c>
      <c r="X21">
        <v>0.04</v>
      </c>
    </row>
    <row r="22" spans="1:24" x14ac:dyDescent="0.2">
      <c r="A22" t="s">
        <v>213</v>
      </c>
      <c r="C22" t="s">
        <v>301</v>
      </c>
      <c r="D22" t="s">
        <v>293</v>
      </c>
      <c r="E22" t="s">
        <v>215</v>
      </c>
      <c r="F22" s="4">
        <v>143</v>
      </c>
      <c r="G22">
        <v>70</v>
      </c>
      <c r="H22">
        <v>74</v>
      </c>
      <c r="I22">
        <v>15</v>
      </c>
      <c r="J22">
        <v>-3</v>
      </c>
      <c r="K22">
        <v>70</v>
      </c>
      <c r="L22">
        <v>113</v>
      </c>
      <c r="M22">
        <v>0.27</v>
      </c>
      <c r="N22">
        <v>0.55000000000000004</v>
      </c>
      <c r="O22" s="4">
        <v>32</v>
      </c>
      <c r="P22">
        <v>0</v>
      </c>
      <c r="Q22">
        <v>13</v>
      </c>
      <c r="R22" s="4">
        <v>10</v>
      </c>
      <c r="S22">
        <v>15</v>
      </c>
      <c r="T22" s="4">
        <v>0.94</v>
      </c>
      <c r="U22">
        <v>0.15</v>
      </c>
      <c r="V22">
        <v>14</v>
      </c>
      <c r="W22">
        <v>-0.22</v>
      </c>
      <c r="X22">
        <v>0.02</v>
      </c>
    </row>
    <row r="23" spans="1:24" x14ac:dyDescent="0.2">
      <c r="A23" t="s">
        <v>231</v>
      </c>
      <c r="C23" t="s">
        <v>302</v>
      </c>
      <c r="D23" t="s">
        <v>293</v>
      </c>
      <c r="E23" t="s">
        <v>233</v>
      </c>
      <c r="F23" s="4">
        <v>149</v>
      </c>
      <c r="G23">
        <v>75</v>
      </c>
      <c r="H23">
        <v>74</v>
      </c>
      <c r="I23" s="4">
        <v>17</v>
      </c>
      <c r="J23" s="4">
        <v>-4.5999999999999996</v>
      </c>
      <c r="K23">
        <v>66</v>
      </c>
      <c r="L23">
        <v>104</v>
      </c>
      <c r="M23">
        <v>0.23</v>
      </c>
      <c r="N23">
        <v>0.42</v>
      </c>
      <c r="O23">
        <v>29</v>
      </c>
      <c r="P23">
        <v>1</v>
      </c>
      <c r="Q23">
        <v>13</v>
      </c>
      <c r="R23" s="4">
        <v>11</v>
      </c>
      <c r="S23">
        <v>16</v>
      </c>
      <c r="T23" s="4">
        <v>0.84</v>
      </c>
      <c r="U23">
        <v>0.09</v>
      </c>
      <c r="V23">
        <v>20</v>
      </c>
      <c r="W23">
        <v>-0.02</v>
      </c>
      <c r="X23">
        <v>0.01</v>
      </c>
    </row>
    <row r="24" spans="1:24" x14ac:dyDescent="0.2">
      <c r="A24" t="s">
        <v>249</v>
      </c>
      <c r="C24" t="s">
        <v>303</v>
      </c>
      <c r="D24" t="s">
        <v>293</v>
      </c>
      <c r="E24" t="s">
        <v>251</v>
      </c>
      <c r="F24" s="4">
        <v>156</v>
      </c>
      <c r="G24">
        <v>72</v>
      </c>
      <c r="H24" s="4">
        <v>84</v>
      </c>
      <c r="I24" s="4">
        <v>17</v>
      </c>
      <c r="J24" s="4">
        <v>-4.5999999999999996</v>
      </c>
      <c r="K24">
        <v>68</v>
      </c>
      <c r="L24">
        <v>108</v>
      </c>
      <c r="M24">
        <v>0.25</v>
      </c>
      <c r="N24">
        <v>0.36</v>
      </c>
      <c r="O24">
        <v>26</v>
      </c>
      <c r="P24">
        <v>4</v>
      </c>
      <c r="Q24">
        <v>14</v>
      </c>
      <c r="R24" s="4">
        <v>11</v>
      </c>
      <c r="S24">
        <v>15</v>
      </c>
      <c r="T24" s="4">
        <v>0.89</v>
      </c>
      <c r="U24">
        <v>7.0000000000000007E-2</v>
      </c>
      <c r="V24">
        <v>21</v>
      </c>
      <c r="W24">
        <v>0.08</v>
      </c>
      <c r="X24">
        <v>0.02</v>
      </c>
    </row>
    <row r="25" spans="1:24" x14ac:dyDescent="0.2">
      <c r="A25" t="s">
        <v>267</v>
      </c>
      <c r="C25" t="s">
        <v>304</v>
      </c>
      <c r="D25" t="s">
        <v>293</v>
      </c>
      <c r="E25" t="s">
        <v>269</v>
      </c>
      <c r="F25" s="4">
        <v>155</v>
      </c>
      <c r="G25">
        <v>70</v>
      </c>
      <c r="H25" s="4">
        <v>85</v>
      </c>
      <c r="I25" s="4">
        <v>16</v>
      </c>
      <c r="J25">
        <v>-3.6</v>
      </c>
      <c r="K25">
        <v>73</v>
      </c>
      <c r="L25">
        <v>116</v>
      </c>
      <c r="M25">
        <v>0.27</v>
      </c>
      <c r="N25">
        <v>0.49</v>
      </c>
      <c r="O25">
        <v>27</v>
      </c>
      <c r="P25">
        <v>4</v>
      </c>
      <c r="Q25">
        <v>13</v>
      </c>
      <c r="R25" s="4">
        <v>11</v>
      </c>
      <c r="S25">
        <v>15</v>
      </c>
      <c r="T25" s="4">
        <v>0.86</v>
      </c>
      <c r="U25">
        <v>0.14000000000000001</v>
      </c>
      <c r="V25">
        <v>30</v>
      </c>
      <c r="W25">
        <v>0.02</v>
      </c>
      <c r="X25">
        <v>0.02</v>
      </c>
    </row>
    <row r="27" spans="1:24" x14ac:dyDescent="0.2">
      <c r="A27" t="s">
        <v>111</v>
      </c>
      <c r="C27" t="s">
        <v>290</v>
      </c>
      <c r="D27" t="s">
        <v>295</v>
      </c>
      <c r="E27" s="6" t="s">
        <v>113</v>
      </c>
      <c r="F27">
        <v>137</v>
      </c>
      <c r="G27">
        <v>77</v>
      </c>
      <c r="H27">
        <v>60</v>
      </c>
      <c r="I27" s="4">
        <v>19</v>
      </c>
      <c r="J27" s="4">
        <v>-5</v>
      </c>
      <c r="K27">
        <v>66</v>
      </c>
      <c r="L27">
        <v>98</v>
      </c>
      <c r="M27">
        <v>0.2</v>
      </c>
      <c r="N27" s="4">
        <v>0.12</v>
      </c>
      <c r="O27">
        <v>25</v>
      </c>
      <c r="P27">
        <v>6</v>
      </c>
      <c r="Q27">
        <v>14</v>
      </c>
      <c r="R27">
        <v>9</v>
      </c>
      <c r="S27">
        <v>18</v>
      </c>
      <c r="T27" s="4">
        <v>0.73</v>
      </c>
      <c r="U27">
        <v>0.17</v>
      </c>
      <c r="V27">
        <v>18</v>
      </c>
      <c r="W27">
        <v>-0.12</v>
      </c>
      <c r="X27">
        <v>0.04</v>
      </c>
    </row>
    <row r="28" spans="1:24" x14ac:dyDescent="0.2">
      <c r="A28" t="s">
        <v>129</v>
      </c>
      <c r="C28" t="s">
        <v>296</v>
      </c>
      <c r="D28" t="s">
        <v>295</v>
      </c>
      <c r="E28" s="6" t="s">
        <v>131</v>
      </c>
      <c r="F28" s="4">
        <v>149</v>
      </c>
      <c r="G28">
        <v>73</v>
      </c>
      <c r="H28">
        <v>76</v>
      </c>
      <c r="I28" s="4">
        <v>18</v>
      </c>
      <c r="J28" s="4">
        <v>-5.6</v>
      </c>
      <c r="K28">
        <v>63</v>
      </c>
      <c r="L28">
        <v>97</v>
      </c>
      <c r="M28">
        <v>0.22</v>
      </c>
      <c r="N28">
        <v>0.28999999999999998</v>
      </c>
      <c r="O28">
        <v>28</v>
      </c>
      <c r="P28">
        <v>2</v>
      </c>
      <c r="Q28" s="4">
        <v>16</v>
      </c>
      <c r="R28">
        <v>9</v>
      </c>
      <c r="S28">
        <v>16</v>
      </c>
      <c r="T28" s="4">
        <v>0.7</v>
      </c>
      <c r="U28">
        <v>7.0000000000000007E-2</v>
      </c>
      <c r="V28">
        <v>28</v>
      </c>
      <c r="W28">
        <v>0.15</v>
      </c>
      <c r="X28">
        <v>0.02</v>
      </c>
    </row>
    <row r="29" spans="1:24" x14ac:dyDescent="0.2">
      <c r="A29" t="s">
        <v>147</v>
      </c>
      <c r="C29" t="s">
        <v>297</v>
      </c>
      <c r="D29" t="s">
        <v>295</v>
      </c>
      <c r="E29" s="6" t="s">
        <v>149</v>
      </c>
      <c r="F29" s="4">
        <v>146</v>
      </c>
      <c r="G29">
        <v>78</v>
      </c>
      <c r="H29">
        <v>68</v>
      </c>
      <c r="I29" s="4">
        <v>17</v>
      </c>
      <c r="J29" s="4">
        <v>-3.8</v>
      </c>
      <c r="K29">
        <v>68</v>
      </c>
      <c r="L29">
        <v>106</v>
      </c>
      <c r="M29">
        <v>0.24</v>
      </c>
      <c r="N29">
        <v>0.53</v>
      </c>
      <c r="O29" s="4">
        <v>33</v>
      </c>
      <c r="P29">
        <v>8</v>
      </c>
      <c r="Q29">
        <v>14</v>
      </c>
      <c r="R29">
        <v>8</v>
      </c>
      <c r="S29" s="4">
        <v>19</v>
      </c>
      <c r="T29" s="4">
        <v>0.75</v>
      </c>
      <c r="U29">
        <v>7.0000000000000007E-2</v>
      </c>
      <c r="V29">
        <v>20</v>
      </c>
      <c r="W29">
        <v>0.22</v>
      </c>
      <c r="X29">
        <v>0.04</v>
      </c>
    </row>
    <row r="30" spans="1:24" x14ac:dyDescent="0.2">
      <c r="A30" t="s">
        <v>165</v>
      </c>
      <c r="C30" t="s">
        <v>298</v>
      </c>
      <c r="D30" t="s">
        <v>295</v>
      </c>
      <c r="E30" s="6" t="s">
        <v>167</v>
      </c>
      <c r="F30" s="4">
        <v>159</v>
      </c>
      <c r="G30" s="4">
        <v>84</v>
      </c>
      <c r="H30">
        <v>75</v>
      </c>
      <c r="I30" s="4">
        <v>18</v>
      </c>
      <c r="J30" s="4">
        <v>-4.8</v>
      </c>
      <c r="K30">
        <v>74</v>
      </c>
      <c r="L30">
        <v>112</v>
      </c>
      <c r="M30">
        <v>0.24</v>
      </c>
      <c r="N30">
        <v>0.53</v>
      </c>
      <c r="O30" s="4">
        <v>33</v>
      </c>
      <c r="P30">
        <v>2</v>
      </c>
      <c r="Q30">
        <v>13</v>
      </c>
      <c r="R30">
        <v>8</v>
      </c>
      <c r="S30" s="4">
        <v>19</v>
      </c>
      <c r="T30" s="4">
        <v>0.75</v>
      </c>
      <c r="U30">
        <v>0.1</v>
      </c>
      <c r="V30">
        <v>32</v>
      </c>
      <c r="W30">
        <v>0.16</v>
      </c>
      <c r="X30">
        <v>0.02</v>
      </c>
    </row>
    <row r="31" spans="1:24" x14ac:dyDescent="0.2">
      <c r="A31" t="s">
        <v>183</v>
      </c>
      <c r="C31" t="s">
        <v>299</v>
      </c>
      <c r="D31" t="s">
        <v>295</v>
      </c>
      <c r="E31" s="6" t="s">
        <v>185</v>
      </c>
      <c r="F31" s="4">
        <v>170</v>
      </c>
      <c r="G31" s="4">
        <v>93</v>
      </c>
      <c r="H31">
        <v>77</v>
      </c>
      <c r="I31" s="4">
        <v>18</v>
      </c>
      <c r="J31" s="4">
        <v>-4.9000000000000004</v>
      </c>
      <c r="K31">
        <v>68</v>
      </c>
      <c r="L31">
        <v>101</v>
      </c>
      <c r="M31">
        <v>0.2</v>
      </c>
      <c r="N31">
        <v>0.19</v>
      </c>
      <c r="O31">
        <v>27</v>
      </c>
      <c r="P31">
        <v>2</v>
      </c>
      <c r="Q31" s="4">
        <v>17</v>
      </c>
      <c r="R31" s="4">
        <v>10</v>
      </c>
      <c r="S31">
        <v>18</v>
      </c>
      <c r="T31" s="4">
        <v>0.79</v>
      </c>
      <c r="U31">
        <v>7.0000000000000007E-2</v>
      </c>
      <c r="V31">
        <v>25</v>
      </c>
      <c r="W31">
        <v>0.18</v>
      </c>
      <c r="X31">
        <v>0.02</v>
      </c>
    </row>
    <row r="32" spans="1:24" x14ac:dyDescent="0.2">
      <c r="A32" t="s">
        <v>201</v>
      </c>
      <c r="C32" t="s">
        <v>300</v>
      </c>
      <c r="D32" t="s">
        <v>295</v>
      </c>
      <c r="E32" s="6" t="s">
        <v>203</v>
      </c>
      <c r="F32" s="4">
        <v>142</v>
      </c>
      <c r="G32">
        <v>76</v>
      </c>
      <c r="H32">
        <v>67</v>
      </c>
      <c r="I32" s="4">
        <v>18</v>
      </c>
      <c r="J32" s="4">
        <v>-4.7</v>
      </c>
      <c r="K32">
        <v>68</v>
      </c>
      <c r="L32">
        <v>104</v>
      </c>
      <c r="M32">
        <v>0.23</v>
      </c>
      <c r="N32">
        <v>0.22</v>
      </c>
      <c r="O32">
        <v>29</v>
      </c>
      <c r="P32">
        <v>7</v>
      </c>
      <c r="Q32">
        <v>13</v>
      </c>
      <c r="R32">
        <v>9</v>
      </c>
      <c r="S32">
        <v>18</v>
      </c>
      <c r="T32" s="4">
        <v>0.79</v>
      </c>
      <c r="U32">
        <v>0.16</v>
      </c>
      <c r="V32">
        <v>17</v>
      </c>
      <c r="W32">
        <v>-0.02</v>
      </c>
      <c r="X32">
        <v>0.05</v>
      </c>
    </row>
    <row r="33" spans="1:24" x14ac:dyDescent="0.2">
      <c r="A33" t="s">
        <v>219</v>
      </c>
      <c r="C33" t="s">
        <v>301</v>
      </c>
      <c r="D33" t="s">
        <v>295</v>
      </c>
      <c r="E33" s="6" t="s">
        <v>221</v>
      </c>
      <c r="F33" s="4">
        <v>155</v>
      </c>
      <c r="G33" s="4">
        <v>86</v>
      </c>
      <c r="H33">
        <v>69</v>
      </c>
      <c r="I33" s="4">
        <v>18</v>
      </c>
      <c r="J33">
        <v>-4.4000000000000004</v>
      </c>
      <c r="K33">
        <v>67</v>
      </c>
      <c r="L33">
        <v>102</v>
      </c>
      <c r="M33">
        <v>0.22</v>
      </c>
      <c r="N33">
        <v>0.33</v>
      </c>
      <c r="O33" s="4">
        <v>31</v>
      </c>
      <c r="P33">
        <v>-1</v>
      </c>
      <c r="Q33">
        <v>15</v>
      </c>
      <c r="R33">
        <v>9</v>
      </c>
      <c r="S33">
        <v>18</v>
      </c>
      <c r="T33" s="4">
        <v>0.88</v>
      </c>
      <c r="U33">
        <v>0.13</v>
      </c>
      <c r="V33">
        <v>14</v>
      </c>
      <c r="W33">
        <v>-0.14000000000000001</v>
      </c>
      <c r="X33">
        <v>0.02</v>
      </c>
    </row>
    <row r="34" spans="1:24" x14ac:dyDescent="0.2">
      <c r="A34" t="s">
        <v>237</v>
      </c>
      <c r="C34" t="s">
        <v>302</v>
      </c>
      <c r="D34" t="s">
        <v>295</v>
      </c>
      <c r="E34" s="6" t="s">
        <v>239</v>
      </c>
      <c r="F34" s="4">
        <v>161</v>
      </c>
      <c r="G34" s="4">
        <v>92</v>
      </c>
      <c r="H34">
        <v>70</v>
      </c>
      <c r="I34" s="4">
        <v>19</v>
      </c>
      <c r="J34" s="4">
        <v>-6.1</v>
      </c>
      <c r="K34">
        <v>63</v>
      </c>
      <c r="L34">
        <v>93</v>
      </c>
      <c r="M34">
        <v>0.19</v>
      </c>
      <c r="N34" s="4">
        <v>0.2</v>
      </c>
      <c r="O34">
        <v>28</v>
      </c>
      <c r="P34">
        <v>0</v>
      </c>
      <c r="Q34">
        <v>15</v>
      </c>
      <c r="R34" s="4">
        <v>10</v>
      </c>
      <c r="S34">
        <v>18</v>
      </c>
      <c r="T34" s="4">
        <v>0.78</v>
      </c>
      <c r="U34">
        <v>0.06</v>
      </c>
      <c r="V34">
        <v>20</v>
      </c>
      <c r="W34">
        <v>7.0000000000000007E-2</v>
      </c>
      <c r="X34">
        <v>0.02</v>
      </c>
    </row>
    <row r="35" spans="1:24" x14ac:dyDescent="0.2">
      <c r="A35" t="s">
        <v>255</v>
      </c>
      <c r="C35" t="s">
        <v>303</v>
      </c>
      <c r="D35" t="s">
        <v>295</v>
      </c>
      <c r="E35" s="6" t="s">
        <v>257</v>
      </c>
      <c r="F35" s="4">
        <v>168</v>
      </c>
      <c r="G35" s="4">
        <v>88</v>
      </c>
      <c r="H35">
        <v>79</v>
      </c>
      <c r="I35" s="4">
        <v>19</v>
      </c>
      <c r="J35" s="4">
        <v>-6</v>
      </c>
      <c r="K35">
        <v>65</v>
      </c>
      <c r="L35">
        <v>97</v>
      </c>
      <c r="M35">
        <v>0.2</v>
      </c>
      <c r="N35" s="4">
        <v>0.15</v>
      </c>
      <c r="O35">
        <v>25</v>
      </c>
      <c r="P35">
        <v>4</v>
      </c>
      <c r="Q35">
        <v>16</v>
      </c>
      <c r="R35" s="4">
        <v>10</v>
      </c>
      <c r="S35">
        <v>18</v>
      </c>
      <c r="T35" s="4">
        <v>0.83</v>
      </c>
      <c r="U35">
        <v>0.05</v>
      </c>
      <c r="V35">
        <v>22</v>
      </c>
      <c r="W35">
        <v>0.17</v>
      </c>
      <c r="X35">
        <v>0.02</v>
      </c>
    </row>
    <row r="36" spans="1:24" x14ac:dyDescent="0.2">
      <c r="A36" t="s">
        <v>273</v>
      </c>
      <c r="C36" t="s">
        <v>304</v>
      </c>
      <c r="D36" t="s">
        <v>295</v>
      </c>
      <c r="E36" s="6" t="s">
        <v>275</v>
      </c>
      <c r="F36" s="4">
        <v>166</v>
      </c>
      <c r="G36" s="4">
        <v>86</v>
      </c>
      <c r="H36" s="4">
        <v>80</v>
      </c>
      <c r="I36" s="4">
        <v>19</v>
      </c>
      <c r="J36" s="4">
        <v>-5</v>
      </c>
      <c r="K36">
        <v>70</v>
      </c>
      <c r="L36">
        <v>105</v>
      </c>
      <c r="M36">
        <v>0.22</v>
      </c>
      <c r="N36">
        <v>0.28000000000000003</v>
      </c>
      <c r="O36">
        <v>26</v>
      </c>
      <c r="P36">
        <v>3</v>
      </c>
      <c r="Q36">
        <v>15</v>
      </c>
      <c r="R36" s="4">
        <v>10</v>
      </c>
      <c r="S36">
        <v>18</v>
      </c>
      <c r="T36" s="4">
        <v>0.8</v>
      </c>
      <c r="U36">
        <v>0.11</v>
      </c>
      <c r="V36">
        <v>30</v>
      </c>
      <c r="W36">
        <v>0.11</v>
      </c>
      <c r="X36">
        <v>0.02</v>
      </c>
    </row>
    <row r="38" spans="1:24" x14ac:dyDescent="0.2">
      <c r="A38" t="s">
        <v>108</v>
      </c>
      <c r="C38" t="s">
        <v>290</v>
      </c>
      <c r="D38" t="s">
        <v>294</v>
      </c>
      <c r="E38" t="s">
        <v>110</v>
      </c>
      <c r="F38">
        <v>111</v>
      </c>
      <c r="G38">
        <v>59</v>
      </c>
      <c r="H38">
        <v>52</v>
      </c>
      <c r="I38" s="4">
        <v>16</v>
      </c>
      <c r="J38">
        <v>-3.4</v>
      </c>
      <c r="K38">
        <v>69</v>
      </c>
      <c r="L38">
        <v>101</v>
      </c>
      <c r="M38">
        <v>0.2</v>
      </c>
      <c r="N38">
        <v>0.4</v>
      </c>
      <c r="O38">
        <v>22</v>
      </c>
      <c r="P38">
        <v>-1</v>
      </c>
      <c r="Q38" s="4">
        <v>17</v>
      </c>
      <c r="R38">
        <v>8</v>
      </c>
      <c r="S38">
        <v>12</v>
      </c>
      <c r="T38">
        <v>0.65</v>
      </c>
      <c r="U38">
        <v>0.2</v>
      </c>
      <c r="V38">
        <v>21</v>
      </c>
      <c r="W38">
        <v>-0.16</v>
      </c>
      <c r="X38">
        <v>0.04</v>
      </c>
    </row>
    <row r="39" spans="1:24" x14ac:dyDescent="0.2">
      <c r="A39" t="s">
        <v>126</v>
      </c>
      <c r="C39" t="s">
        <v>296</v>
      </c>
      <c r="D39" t="s">
        <v>294</v>
      </c>
      <c r="E39" t="s">
        <v>128</v>
      </c>
      <c r="F39">
        <v>123</v>
      </c>
      <c r="G39">
        <v>56</v>
      </c>
      <c r="H39">
        <v>67</v>
      </c>
      <c r="I39">
        <v>14</v>
      </c>
      <c r="J39">
        <v>-4</v>
      </c>
      <c r="K39">
        <v>65</v>
      </c>
      <c r="L39">
        <v>101</v>
      </c>
      <c r="M39">
        <v>0.22</v>
      </c>
      <c r="N39">
        <v>0.57999999999999996</v>
      </c>
      <c r="O39">
        <v>24</v>
      </c>
      <c r="P39">
        <v>-5</v>
      </c>
      <c r="Q39" s="4">
        <v>19</v>
      </c>
      <c r="R39">
        <v>8</v>
      </c>
      <c r="S39">
        <v>10</v>
      </c>
      <c r="T39">
        <v>0.62</v>
      </c>
      <c r="U39">
        <v>0.11</v>
      </c>
      <c r="V39">
        <v>31</v>
      </c>
      <c r="W39">
        <v>0.11</v>
      </c>
      <c r="X39">
        <v>0.02</v>
      </c>
    </row>
    <row r="40" spans="1:24" x14ac:dyDescent="0.2">
      <c r="A40" t="s">
        <v>144</v>
      </c>
      <c r="C40" t="s">
        <v>297</v>
      </c>
      <c r="D40" t="s">
        <v>294</v>
      </c>
      <c r="E40" t="s">
        <v>146</v>
      </c>
      <c r="F40">
        <v>120</v>
      </c>
      <c r="G40">
        <v>61</v>
      </c>
      <c r="H40">
        <v>59</v>
      </c>
      <c r="I40">
        <v>14</v>
      </c>
      <c r="J40">
        <v>-2.2000000000000002</v>
      </c>
      <c r="K40">
        <v>71</v>
      </c>
      <c r="L40">
        <v>110</v>
      </c>
      <c r="M40">
        <v>0.25</v>
      </c>
      <c r="N40">
        <v>0.82</v>
      </c>
      <c r="O40">
        <v>29</v>
      </c>
      <c r="P40">
        <v>1</v>
      </c>
      <c r="Q40" s="4">
        <v>17</v>
      </c>
      <c r="R40">
        <v>7</v>
      </c>
      <c r="S40">
        <v>13</v>
      </c>
      <c r="T40">
        <v>0.67</v>
      </c>
      <c r="U40">
        <v>0.1</v>
      </c>
      <c r="V40">
        <v>23</v>
      </c>
      <c r="W40">
        <v>0.18</v>
      </c>
      <c r="X40">
        <v>0.04</v>
      </c>
    </row>
    <row r="41" spans="1:24" x14ac:dyDescent="0.2">
      <c r="A41" t="s">
        <v>162</v>
      </c>
      <c r="C41" t="s">
        <v>298</v>
      </c>
      <c r="D41" t="s">
        <v>294</v>
      </c>
      <c r="E41" t="s">
        <v>164</v>
      </c>
      <c r="F41">
        <v>133</v>
      </c>
      <c r="G41">
        <v>67</v>
      </c>
      <c r="H41">
        <v>66</v>
      </c>
      <c r="I41">
        <v>14</v>
      </c>
      <c r="J41">
        <v>-3.2</v>
      </c>
      <c r="K41">
        <v>77</v>
      </c>
      <c r="L41">
        <v>116</v>
      </c>
      <c r="M41">
        <v>0.25</v>
      </c>
      <c r="N41">
        <v>0.81</v>
      </c>
      <c r="O41">
        <v>29</v>
      </c>
      <c r="P41">
        <v>-4</v>
      </c>
      <c r="Q41" s="4">
        <v>16</v>
      </c>
      <c r="R41">
        <v>7</v>
      </c>
      <c r="S41">
        <v>13</v>
      </c>
      <c r="T41">
        <v>0.67</v>
      </c>
      <c r="U41">
        <v>0.14000000000000001</v>
      </c>
      <c r="V41">
        <v>35</v>
      </c>
      <c r="W41">
        <v>0.11</v>
      </c>
      <c r="X41">
        <v>0.03</v>
      </c>
    </row>
    <row r="42" spans="1:24" x14ac:dyDescent="0.2">
      <c r="A42" t="s">
        <v>180</v>
      </c>
      <c r="C42" t="s">
        <v>299</v>
      </c>
      <c r="D42" t="s">
        <v>294</v>
      </c>
      <c r="E42" t="s">
        <v>182</v>
      </c>
      <c r="F42" s="4">
        <v>144</v>
      </c>
      <c r="G42">
        <v>75</v>
      </c>
      <c r="H42">
        <v>68</v>
      </c>
      <c r="I42">
        <v>15</v>
      </c>
      <c r="J42">
        <v>-3.3</v>
      </c>
      <c r="K42">
        <v>70</v>
      </c>
      <c r="L42">
        <v>104</v>
      </c>
      <c r="M42">
        <v>0.21</v>
      </c>
      <c r="N42">
        <v>0.47</v>
      </c>
      <c r="O42">
        <v>24</v>
      </c>
      <c r="P42">
        <v>-5</v>
      </c>
      <c r="Q42" s="4">
        <v>20</v>
      </c>
      <c r="R42">
        <v>9</v>
      </c>
      <c r="S42">
        <v>12</v>
      </c>
      <c r="T42" s="4">
        <v>0.71</v>
      </c>
      <c r="U42">
        <v>0.1</v>
      </c>
      <c r="V42">
        <v>28</v>
      </c>
      <c r="W42">
        <v>0.14000000000000001</v>
      </c>
      <c r="X42">
        <v>0.03</v>
      </c>
    </row>
    <row r="43" spans="1:24" x14ac:dyDescent="0.2">
      <c r="A43" t="s">
        <v>198</v>
      </c>
      <c r="C43" t="s">
        <v>300</v>
      </c>
      <c r="D43" t="s">
        <v>294</v>
      </c>
      <c r="E43" t="s">
        <v>200</v>
      </c>
      <c r="F43">
        <v>116</v>
      </c>
      <c r="G43">
        <v>58</v>
      </c>
      <c r="H43">
        <v>58</v>
      </c>
      <c r="I43">
        <v>14</v>
      </c>
      <c r="J43">
        <v>-3.1</v>
      </c>
      <c r="K43">
        <v>71</v>
      </c>
      <c r="L43">
        <v>108</v>
      </c>
      <c r="M43">
        <v>0.23</v>
      </c>
      <c r="N43">
        <v>0.5</v>
      </c>
      <c r="O43">
        <v>26</v>
      </c>
      <c r="P43">
        <v>0</v>
      </c>
      <c r="Q43" s="4">
        <v>16</v>
      </c>
      <c r="R43">
        <v>8</v>
      </c>
      <c r="S43">
        <v>13</v>
      </c>
      <c r="T43" s="4">
        <v>0.71</v>
      </c>
      <c r="U43">
        <v>0.19</v>
      </c>
      <c r="V43">
        <v>20</v>
      </c>
      <c r="W43">
        <v>-0.06</v>
      </c>
      <c r="X43">
        <v>0.05</v>
      </c>
    </row>
    <row r="44" spans="1:24" x14ac:dyDescent="0.2">
      <c r="A44" t="s">
        <v>216</v>
      </c>
      <c r="C44" t="s">
        <v>301</v>
      </c>
      <c r="D44" t="s">
        <v>294</v>
      </c>
      <c r="E44" t="s">
        <v>218</v>
      </c>
      <c r="F44">
        <v>129</v>
      </c>
      <c r="G44">
        <v>69</v>
      </c>
      <c r="H44">
        <v>60</v>
      </c>
      <c r="I44">
        <v>14</v>
      </c>
      <c r="J44">
        <v>-2.8</v>
      </c>
      <c r="K44">
        <v>70</v>
      </c>
      <c r="L44">
        <v>106</v>
      </c>
      <c r="M44">
        <v>0.23</v>
      </c>
      <c r="N44">
        <v>0.62</v>
      </c>
      <c r="O44">
        <v>28</v>
      </c>
      <c r="P44" s="4">
        <v>-7</v>
      </c>
      <c r="Q44" s="4">
        <v>18</v>
      </c>
      <c r="R44">
        <v>8</v>
      </c>
      <c r="S44">
        <v>12</v>
      </c>
      <c r="T44" s="4">
        <v>0.8</v>
      </c>
      <c r="U44">
        <v>0.16</v>
      </c>
      <c r="V44">
        <v>17</v>
      </c>
      <c r="W44">
        <v>-0.18</v>
      </c>
      <c r="X44">
        <v>0.03</v>
      </c>
    </row>
    <row r="45" spans="1:24" x14ac:dyDescent="0.2">
      <c r="A45" t="s">
        <v>234</v>
      </c>
      <c r="C45" t="s">
        <v>302</v>
      </c>
      <c r="D45" t="s">
        <v>294</v>
      </c>
      <c r="E45" t="s">
        <v>236</v>
      </c>
      <c r="F45">
        <v>135</v>
      </c>
      <c r="G45">
        <v>74</v>
      </c>
      <c r="H45">
        <v>61</v>
      </c>
      <c r="I45" s="4">
        <v>16</v>
      </c>
      <c r="J45">
        <v>-4.4000000000000004</v>
      </c>
      <c r="K45">
        <v>66</v>
      </c>
      <c r="L45">
        <v>97</v>
      </c>
      <c r="M45">
        <v>0.19</v>
      </c>
      <c r="N45">
        <v>0.49</v>
      </c>
      <c r="O45">
        <v>24</v>
      </c>
      <c r="P45">
        <v>-6</v>
      </c>
      <c r="Q45" s="4">
        <v>18</v>
      </c>
      <c r="R45">
        <v>9</v>
      </c>
      <c r="S45">
        <v>13</v>
      </c>
      <c r="T45" s="4">
        <v>0.7</v>
      </c>
      <c r="U45">
        <v>0.1</v>
      </c>
      <c r="V45">
        <v>23</v>
      </c>
      <c r="W45">
        <v>0.03</v>
      </c>
      <c r="X45">
        <v>0.02</v>
      </c>
    </row>
    <row r="46" spans="1:24" x14ac:dyDescent="0.2">
      <c r="A46" t="s">
        <v>252</v>
      </c>
      <c r="C46" t="s">
        <v>303</v>
      </c>
      <c r="D46" t="s">
        <v>294</v>
      </c>
      <c r="E46" t="s">
        <v>254</v>
      </c>
      <c r="F46" s="4">
        <v>142</v>
      </c>
      <c r="G46">
        <v>71</v>
      </c>
      <c r="H46">
        <v>71</v>
      </c>
      <c r="I46">
        <v>15</v>
      </c>
      <c r="J46">
        <v>-4.4000000000000004</v>
      </c>
      <c r="K46">
        <v>67</v>
      </c>
      <c r="L46">
        <v>101</v>
      </c>
      <c r="M46">
        <v>0.21</v>
      </c>
      <c r="N46">
        <v>0.44</v>
      </c>
      <c r="O46">
        <v>22</v>
      </c>
      <c r="P46">
        <v>-3</v>
      </c>
      <c r="Q46" s="4">
        <v>19</v>
      </c>
      <c r="R46">
        <v>9</v>
      </c>
      <c r="S46">
        <v>12</v>
      </c>
      <c r="T46" s="4">
        <v>0.75</v>
      </c>
      <c r="U46">
        <v>0.08</v>
      </c>
      <c r="V46">
        <v>25</v>
      </c>
      <c r="W46">
        <v>0.13</v>
      </c>
      <c r="X46">
        <v>0.02</v>
      </c>
    </row>
    <row r="47" spans="1:24" x14ac:dyDescent="0.2">
      <c r="A47" t="s">
        <v>270</v>
      </c>
      <c r="C47" t="s">
        <v>304</v>
      </c>
      <c r="D47" t="s">
        <v>294</v>
      </c>
      <c r="E47" t="s">
        <v>272</v>
      </c>
      <c r="F47">
        <v>140</v>
      </c>
      <c r="G47">
        <v>69</v>
      </c>
      <c r="H47">
        <v>72</v>
      </c>
      <c r="I47">
        <v>15</v>
      </c>
      <c r="J47">
        <v>-3.4</v>
      </c>
      <c r="K47">
        <v>72</v>
      </c>
      <c r="L47">
        <v>109</v>
      </c>
      <c r="M47">
        <v>0.23</v>
      </c>
      <c r="N47">
        <v>0.56000000000000005</v>
      </c>
      <c r="O47">
        <v>23</v>
      </c>
      <c r="P47">
        <v>-3</v>
      </c>
      <c r="Q47" s="4">
        <v>18</v>
      </c>
      <c r="R47">
        <v>9</v>
      </c>
      <c r="S47">
        <v>12</v>
      </c>
      <c r="T47" s="4">
        <v>0.72</v>
      </c>
      <c r="U47">
        <v>0.15</v>
      </c>
      <c r="V47">
        <v>33</v>
      </c>
      <c r="W47">
        <v>0.06</v>
      </c>
      <c r="X47">
        <v>0.03</v>
      </c>
    </row>
    <row r="49" spans="1:24" x14ac:dyDescent="0.2">
      <c r="A49" t="s">
        <v>89</v>
      </c>
      <c r="C49" t="s">
        <v>290</v>
      </c>
      <c r="D49" t="s">
        <v>291</v>
      </c>
      <c r="E49" t="s">
        <v>98</v>
      </c>
      <c r="F49" s="4">
        <v>143</v>
      </c>
      <c r="G49" s="4">
        <v>95</v>
      </c>
      <c r="H49">
        <v>48</v>
      </c>
      <c r="I49" s="4">
        <v>17</v>
      </c>
      <c r="J49" s="4">
        <v>-4.5999999999999996</v>
      </c>
      <c r="K49">
        <v>70</v>
      </c>
      <c r="L49">
        <v>102</v>
      </c>
      <c r="M49">
        <v>0.2</v>
      </c>
      <c r="N49">
        <v>0.53</v>
      </c>
      <c r="O49">
        <v>27</v>
      </c>
      <c r="P49">
        <v>-1</v>
      </c>
      <c r="Q49">
        <v>14</v>
      </c>
      <c r="R49" s="4">
        <v>11</v>
      </c>
      <c r="S49">
        <v>18</v>
      </c>
      <c r="T49">
        <v>0.64</v>
      </c>
      <c r="U49">
        <v>0.06</v>
      </c>
      <c r="V49">
        <v>15</v>
      </c>
      <c r="W49">
        <v>0.01</v>
      </c>
      <c r="X49">
        <v>0.01</v>
      </c>
    </row>
    <row r="50" spans="1:24" x14ac:dyDescent="0.2">
      <c r="A50" t="s">
        <v>114</v>
      </c>
      <c r="C50" t="s">
        <v>296</v>
      </c>
      <c r="D50" t="s">
        <v>291</v>
      </c>
      <c r="E50" t="s">
        <v>116</v>
      </c>
      <c r="F50" s="4">
        <v>156</v>
      </c>
      <c r="G50" s="4">
        <v>92</v>
      </c>
      <c r="H50">
        <v>63</v>
      </c>
      <c r="I50">
        <v>15</v>
      </c>
      <c r="J50" s="4">
        <v>-5.2</v>
      </c>
      <c r="K50">
        <v>66</v>
      </c>
      <c r="L50">
        <v>102</v>
      </c>
      <c r="M50">
        <v>0.22</v>
      </c>
      <c r="N50">
        <v>0.71</v>
      </c>
      <c r="O50">
        <v>29</v>
      </c>
      <c r="P50">
        <v>-5</v>
      </c>
      <c r="Q50" s="4">
        <v>16</v>
      </c>
      <c r="R50" s="4">
        <v>10</v>
      </c>
      <c r="S50">
        <v>16</v>
      </c>
      <c r="T50">
        <v>0.62</v>
      </c>
      <c r="U50" s="4">
        <v>-0.03</v>
      </c>
      <c r="V50">
        <v>24</v>
      </c>
      <c r="W50">
        <v>0.28000000000000003</v>
      </c>
      <c r="X50">
        <v>0</v>
      </c>
    </row>
    <row r="51" spans="1:24" x14ac:dyDescent="0.2">
      <c r="A51" t="s">
        <v>132</v>
      </c>
      <c r="C51" t="s">
        <v>297</v>
      </c>
      <c r="D51" t="s">
        <v>291</v>
      </c>
      <c r="E51" t="s">
        <v>134</v>
      </c>
      <c r="F51" s="4">
        <v>152</v>
      </c>
      <c r="G51" s="4">
        <v>97</v>
      </c>
      <c r="H51">
        <v>55</v>
      </c>
      <c r="I51">
        <v>15</v>
      </c>
      <c r="J51">
        <v>-3.4</v>
      </c>
      <c r="K51">
        <v>72</v>
      </c>
      <c r="L51">
        <v>111</v>
      </c>
      <c r="M51">
        <v>0.24</v>
      </c>
      <c r="N51">
        <v>0.95</v>
      </c>
      <c r="O51" s="4">
        <v>34</v>
      </c>
      <c r="P51">
        <v>1</v>
      </c>
      <c r="Q51">
        <v>13</v>
      </c>
      <c r="R51">
        <v>9</v>
      </c>
      <c r="S51" s="4">
        <v>19</v>
      </c>
      <c r="T51">
        <v>0.66</v>
      </c>
      <c r="U51" s="4">
        <v>-0.04</v>
      </c>
      <c r="V51">
        <v>16</v>
      </c>
      <c r="W51">
        <v>0.35</v>
      </c>
      <c r="X51">
        <v>0.02</v>
      </c>
    </row>
    <row r="52" spans="1:24" x14ac:dyDescent="0.2">
      <c r="A52" t="s">
        <v>150</v>
      </c>
      <c r="C52" t="s">
        <v>298</v>
      </c>
      <c r="D52" t="s">
        <v>291</v>
      </c>
      <c r="E52" t="s">
        <v>152</v>
      </c>
      <c r="F52" s="4">
        <v>165</v>
      </c>
      <c r="G52" s="4">
        <v>103</v>
      </c>
      <c r="H52">
        <v>62</v>
      </c>
      <c r="I52">
        <v>15</v>
      </c>
      <c r="J52">
        <v>-4.3</v>
      </c>
      <c r="K52" s="4">
        <v>78</v>
      </c>
      <c r="L52">
        <v>117</v>
      </c>
      <c r="M52">
        <v>0.24</v>
      </c>
      <c r="N52">
        <v>0.94</v>
      </c>
      <c r="O52" s="4">
        <v>34</v>
      </c>
      <c r="P52">
        <v>-5</v>
      </c>
      <c r="Q52">
        <v>13</v>
      </c>
      <c r="R52" s="4">
        <v>10</v>
      </c>
      <c r="S52" s="4">
        <v>19</v>
      </c>
      <c r="T52">
        <v>0.66</v>
      </c>
      <c r="U52">
        <v>-0.01</v>
      </c>
      <c r="V52">
        <v>28</v>
      </c>
      <c r="W52">
        <v>0.28000000000000003</v>
      </c>
      <c r="X52">
        <v>0</v>
      </c>
    </row>
    <row r="53" spans="1:24" x14ac:dyDescent="0.2">
      <c r="A53" t="s">
        <v>168</v>
      </c>
      <c r="C53" t="s">
        <v>299</v>
      </c>
      <c r="D53" t="s">
        <v>291</v>
      </c>
      <c r="E53" t="s">
        <v>170</v>
      </c>
      <c r="F53" s="4">
        <v>176</v>
      </c>
      <c r="G53" s="4">
        <v>112</v>
      </c>
      <c r="H53">
        <v>64</v>
      </c>
      <c r="I53" s="4">
        <v>16</v>
      </c>
      <c r="J53">
        <v>-4.4000000000000004</v>
      </c>
      <c r="K53">
        <v>72</v>
      </c>
      <c r="L53">
        <v>105</v>
      </c>
      <c r="M53">
        <v>0.21</v>
      </c>
      <c r="N53">
        <v>0.6</v>
      </c>
      <c r="O53">
        <v>29</v>
      </c>
      <c r="P53">
        <v>-5</v>
      </c>
      <c r="Q53" s="4">
        <v>16</v>
      </c>
      <c r="R53" s="4">
        <v>11</v>
      </c>
      <c r="S53">
        <v>18</v>
      </c>
      <c r="T53" s="4">
        <v>0.7</v>
      </c>
      <c r="U53">
        <v>-0.04</v>
      </c>
      <c r="V53">
        <v>22</v>
      </c>
      <c r="W53">
        <v>0.31</v>
      </c>
      <c r="X53">
        <v>0</v>
      </c>
    </row>
    <row r="54" spans="1:24" x14ac:dyDescent="0.2">
      <c r="A54" t="s">
        <v>186</v>
      </c>
      <c r="C54" t="s">
        <v>300</v>
      </c>
      <c r="D54" t="s">
        <v>291</v>
      </c>
      <c r="E54" t="s">
        <v>188</v>
      </c>
      <c r="F54" s="4">
        <v>149</v>
      </c>
      <c r="G54" s="4">
        <v>95</v>
      </c>
      <c r="H54">
        <v>54</v>
      </c>
      <c r="I54">
        <v>15</v>
      </c>
      <c r="J54">
        <v>-4.2</v>
      </c>
      <c r="K54">
        <v>72</v>
      </c>
      <c r="L54">
        <v>109</v>
      </c>
      <c r="M54">
        <v>0.23</v>
      </c>
      <c r="N54">
        <v>0.63</v>
      </c>
      <c r="O54" s="4">
        <v>30</v>
      </c>
      <c r="P54">
        <v>0</v>
      </c>
      <c r="Q54">
        <v>13</v>
      </c>
      <c r="R54" s="4">
        <v>10</v>
      </c>
      <c r="S54" s="4">
        <v>19</v>
      </c>
      <c r="T54" s="4">
        <v>0.7</v>
      </c>
      <c r="U54">
        <v>0.05</v>
      </c>
      <c r="V54">
        <v>13</v>
      </c>
      <c r="W54">
        <v>0.11</v>
      </c>
      <c r="X54">
        <v>0.03</v>
      </c>
    </row>
    <row r="55" spans="1:24" x14ac:dyDescent="0.2">
      <c r="A55" t="s">
        <v>204</v>
      </c>
      <c r="C55" t="s">
        <v>301</v>
      </c>
      <c r="D55" t="s">
        <v>291</v>
      </c>
      <c r="E55" t="s">
        <v>206</v>
      </c>
      <c r="F55" s="4">
        <v>161</v>
      </c>
      <c r="G55" s="4">
        <v>105</v>
      </c>
      <c r="H55">
        <v>57</v>
      </c>
      <c r="I55">
        <v>15</v>
      </c>
      <c r="J55">
        <v>-4</v>
      </c>
      <c r="K55">
        <v>71</v>
      </c>
      <c r="L55">
        <v>107</v>
      </c>
      <c r="M55">
        <v>0.23</v>
      </c>
      <c r="N55">
        <v>0.75</v>
      </c>
      <c r="O55" s="4">
        <v>33</v>
      </c>
      <c r="P55" s="4">
        <v>-8</v>
      </c>
      <c r="Q55">
        <v>15</v>
      </c>
      <c r="R55" s="4">
        <v>10</v>
      </c>
      <c r="S55">
        <v>18</v>
      </c>
      <c r="T55" s="4">
        <v>0.8</v>
      </c>
      <c r="U55">
        <v>0.02</v>
      </c>
      <c r="V55">
        <v>11</v>
      </c>
      <c r="W55">
        <v>-0.01</v>
      </c>
      <c r="X55">
        <v>0</v>
      </c>
    </row>
    <row r="56" spans="1:24" x14ac:dyDescent="0.2">
      <c r="A56" t="s">
        <v>222</v>
      </c>
      <c r="C56" t="s">
        <v>302</v>
      </c>
      <c r="D56" t="s">
        <v>291</v>
      </c>
      <c r="E56" t="s">
        <v>224</v>
      </c>
      <c r="F56" s="4">
        <v>168</v>
      </c>
      <c r="G56" s="4">
        <v>110</v>
      </c>
      <c r="H56">
        <v>57</v>
      </c>
      <c r="I56" s="4">
        <v>17</v>
      </c>
      <c r="J56" s="4">
        <v>-5.6</v>
      </c>
      <c r="K56">
        <v>67</v>
      </c>
      <c r="L56">
        <v>98</v>
      </c>
      <c r="M56">
        <v>0.19</v>
      </c>
      <c r="N56">
        <v>0.62</v>
      </c>
      <c r="O56">
        <v>29</v>
      </c>
      <c r="P56" s="4">
        <v>-7</v>
      </c>
      <c r="Q56">
        <v>15</v>
      </c>
      <c r="R56" s="4">
        <v>11</v>
      </c>
      <c r="S56" s="4">
        <v>19</v>
      </c>
      <c r="T56" s="4">
        <v>0.7</v>
      </c>
      <c r="U56" s="4">
        <v>-0.04</v>
      </c>
      <c r="V56">
        <v>16</v>
      </c>
      <c r="W56">
        <v>0.2</v>
      </c>
      <c r="X56">
        <v>0</v>
      </c>
    </row>
    <row r="57" spans="1:24" x14ac:dyDescent="0.2">
      <c r="A57" t="s">
        <v>240</v>
      </c>
      <c r="C57" t="s">
        <v>303</v>
      </c>
      <c r="D57" t="s">
        <v>291</v>
      </c>
      <c r="E57" t="s">
        <v>242</v>
      </c>
      <c r="F57" s="4">
        <v>174</v>
      </c>
      <c r="G57" s="4">
        <v>107</v>
      </c>
      <c r="H57">
        <v>67</v>
      </c>
      <c r="I57" s="4">
        <v>16</v>
      </c>
      <c r="J57" s="4">
        <v>-5.6</v>
      </c>
      <c r="K57">
        <v>69</v>
      </c>
      <c r="L57">
        <v>102</v>
      </c>
      <c r="M57">
        <v>0.21</v>
      </c>
      <c r="N57">
        <v>0.56000000000000005</v>
      </c>
      <c r="O57">
        <v>27</v>
      </c>
      <c r="P57">
        <v>-4</v>
      </c>
      <c r="Q57" s="4">
        <v>16</v>
      </c>
      <c r="R57" s="4">
        <v>11</v>
      </c>
      <c r="S57">
        <v>18</v>
      </c>
      <c r="T57" s="4">
        <v>0.75</v>
      </c>
      <c r="U57" s="4">
        <v>-0.06</v>
      </c>
      <c r="V57">
        <v>18</v>
      </c>
      <c r="W57">
        <v>0.3</v>
      </c>
      <c r="X57">
        <v>0</v>
      </c>
    </row>
    <row r="58" spans="1:24" x14ac:dyDescent="0.2">
      <c r="A58" t="s">
        <v>258</v>
      </c>
      <c r="C58" t="s">
        <v>304</v>
      </c>
      <c r="D58" t="s">
        <v>291</v>
      </c>
      <c r="E58" t="s">
        <v>260</v>
      </c>
      <c r="F58" s="4">
        <v>173</v>
      </c>
      <c r="G58" s="4">
        <v>105</v>
      </c>
      <c r="H58">
        <v>68</v>
      </c>
      <c r="I58" s="4">
        <v>16</v>
      </c>
      <c r="J58" s="4">
        <v>-4.5999999999999996</v>
      </c>
      <c r="K58">
        <v>74</v>
      </c>
      <c r="L58">
        <v>110</v>
      </c>
      <c r="M58">
        <v>0.23</v>
      </c>
      <c r="N58">
        <v>0.69</v>
      </c>
      <c r="O58">
        <v>28</v>
      </c>
      <c r="P58">
        <v>-4</v>
      </c>
      <c r="Q58">
        <v>14</v>
      </c>
      <c r="R58" s="4">
        <v>11</v>
      </c>
      <c r="S58" s="4">
        <v>19</v>
      </c>
      <c r="T58" s="4">
        <v>0.72</v>
      </c>
      <c r="U58">
        <v>0.01</v>
      </c>
      <c r="V58">
        <v>26</v>
      </c>
      <c r="W58">
        <v>0.24</v>
      </c>
      <c r="X58">
        <v>0</v>
      </c>
    </row>
    <row r="60" spans="1:24" x14ac:dyDescent="0.2">
      <c r="A60" t="s">
        <v>102</v>
      </c>
      <c r="C60" t="s">
        <v>290</v>
      </c>
      <c r="D60" t="s">
        <v>292</v>
      </c>
      <c r="E60" t="s">
        <v>104</v>
      </c>
      <c r="F60" s="4" t="s">
        <v>308</v>
      </c>
      <c r="G60" s="4">
        <v>91</v>
      </c>
      <c r="H60">
        <v>62</v>
      </c>
      <c r="I60" s="4">
        <v>18</v>
      </c>
      <c r="J60" s="4">
        <v>-5.0999999999999996</v>
      </c>
      <c r="K60">
        <v>66</v>
      </c>
      <c r="L60">
        <v>102</v>
      </c>
      <c r="M60">
        <v>0.23</v>
      </c>
      <c r="N60">
        <v>0.56999999999999995</v>
      </c>
      <c r="O60">
        <v>21</v>
      </c>
      <c r="P60">
        <v>0</v>
      </c>
      <c r="Q60">
        <v>13</v>
      </c>
      <c r="R60" s="4">
        <v>10</v>
      </c>
      <c r="S60" s="4">
        <v>19</v>
      </c>
      <c r="T60" s="4">
        <v>0.82</v>
      </c>
      <c r="U60">
        <v>0.11</v>
      </c>
      <c r="V60">
        <v>15</v>
      </c>
      <c r="W60">
        <v>0.02</v>
      </c>
      <c r="X60">
        <v>0.04</v>
      </c>
    </row>
    <row r="61" spans="1:24" x14ac:dyDescent="0.2">
      <c r="A61" t="s">
        <v>120</v>
      </c>
      <c r="C61" t="s">
        <v>296</v>
      </c>
      <c r="D61" t="s">
        <v>292</v>
      </c>
      <c r="E61" t="s">
        <v>122</v>
      </c>
      <c r="F61" s="4">
        <v>165</v>
      </c>
      <c r="G61" s="4">
        <v>88</v>
      </c>
      <c r="H61">
        <v>77</v>
      </c>
      <c r="I61" s="4">
        <v>17</v>
      </c>
      <c r="J61" s="4">
        <v>-5.8</v>
      </c>
      <c r="K61">
        <v>62</v>
      </c>
      <c r="L61">
        <v>102</v>
      </c>
      <c r="M61">
        <v>0.25</v>
      </c>
      <c r="N61">
        <v>0.75</v>
      </c>
      <c r="O61">
        <v>24</v>
      </c>
      <c r="P61">
        <v>-4</v>
      </c>
      <c r="Q61">
        <v>15</v>
      </c>
      <c r="R61" s="4">
        <v>10</v>
      </c>
      <c r="S61">
        <v>17</v>
      </c>
      <c r="T61" s="4">
        <v>0.79</v>
      </c>
      <c r="U61">
        <v>0.02</v>
      </c>
      <c r="V61">
        <v>24</v>
      </c>
      <c r="W61">
        <v>0.28000000000000003</v>
      </c>
      <c r="X61">
        <v>0.02</v>
      </c>
    </row>
    <row r="62" spans="1:24" x14ac:dyDescent="0.2">
      <c r="A62" t="s">
        <v>138</v>
      </c>
      <c r="C62" t="s">
        <v>297</v>
      </c>
      <c r="D62" t="s">
        <v>292</v>
      </c>
      <c r="E62" t="s">
        <v>140</v>
      </c>
      <c r="F62" s="4">
        <v>161</v>
      </c>
      <c r="G62" s="4">
        <v>92</v>
      </c>
      <c r="H62">
        <v>69</v>
      </c>
      <c r="I62" s="4">
        <v>16</v>
      </c>
      <c r="J62">
        <v>-4</v>
      </c>
      <c r="K62">
        <v>68</v>
      </c>
      <c r="L62">
        <v>111</v>
      </c>
      <c r="M62">
        <v>0.27</v>
      </c>
      <c r="N62">
        <v>0.99</v>
      </c>
      <c r="O62">
        <v>29</v>
      </c>
      <c r="P62">
        <v>3</v>
      </c>
      <c r="Q62">
        <v>13</v>
      </c>
      <c r="R62">
        <v>9</v>
      </c>
      <c r="S62" s="4">
        <v>20</v>
      </c>
      <c r="T62" s="4">
        <v>0.84</v>
      </c>
      <c r="U62">
        <v>0.02</v>
      </c>
      <c r="V62">
        <v>16</v>
      </c>
      <c r="W62">
        <v>0.35</v>
      </c>
      <c r="X62">
        <v>0.04</v>
      </c>
    </row>
    <row r="63" spans="1:24" x14ac:dyDescent="0.2">
      <c r="A63" t="s">
        <v>156</v>
      </c>
      <c r="C63" t="s">
        <v>298</v>
      </c>
      <c r="D63" t="s">
        <v>292</v>
      </c>
      <c r="E63" t="s">
        <v>158</v>
      </c>
      <c r="F63" s="4">
        <v>175</v>
      </c>
      <c r="G63" s="4">
        <v>98</v>
      </c>
      <c r="H63">
        <v>76</v>
      </c>
      <c r="I63" s="4">
        <v>17</v>
      </c>
      <c r="J63" s="4">
        <v>-4.9000000000000004</v>
      </c>
      <c r="K63">
        <v>73</v>
      </c>
      <c r="L63">
        <v>117</v>
      </c>
      <c r="M63">
        <v>0.27</v>
      </c>
      <c r="N63">
        <v>0.98</v>
      </c>
      <c r="O63">
        <v>29</v>
      </c>
      <c r="P63">
        <v>-3</v>
      </c>
      <c r="Q63">
        <v>12</v>
      </c>
      <c r="R63">
        <v>9</v>
      </c>
      <c r="S63" s="4">
        <v>20</v>
      </c>
      <c r="T63" s="4">
        <v>0.84</v>
      </c>
      <c r="U63">
        <v>0.05</v>
      </c>
      <c r="V63">
        <v>28</v>
      </c>
      <c r="W63">
        <v>0.28999999999999998</v>
      </c>
      <c r="X63">
        <v>0.02</v>
      </c>
    </row>
    <row r="64" spans="1:24" x14ac:dyDescent="0.2">
      <c r="A64" t="s">
        <v>174</v>
      </c>
      <c r="C64" t="s">
        <v>299</v>
      </c>
      <c r="D64" t="s">
        <v>292</v>
      </c>
      <c r="E64" t="s">
        <v>176</v>
      </c>
      <c r="F64" s="4">
        <v>185</v>
      </c>
      <c r="G64" s="4">
        <v>107</v>
      </c>
      <c r="H64">
        <v>78</v>
      </c>
      <c r="I64" s="4">
        <v>17</v>
      </c>
      <c r="J64" s="4">
        <v>-5.0999999999999996</v>
      </c>
      <c r="K64">
        <v>67</v>
      </c>
      <c r="L64">
        <v>105</v>
      </c>
      <c r="M64">
        <v>0.24</v>
      </c>
      <c r="N64">
        <v>0.64</v>
      </c>
      <c r="O64">
        <v>24</v>
      </c>
      <c r="P64">
        <v>-3</v>
      </c>
      <c r="Q64" s="4">
        <v>16</v>
      </c>
      <c r="R64" s="4">
        <v>11</v>
      </c>
      <c r="S64" s="4">
        <v>19</v>
      </c>
      <c r="T64" s="4">
        <v>0.88</v>
      </c>
      <c r="U64">
        <v>0.01</v>
      </c>
      <c r="V64">
        <v>22</v>
      </c>
      <c r="W64">
        <v>0.31</v>
      </c>
      <c r="X64">
        <v>0.02</v>
      </c>
    </row>
    <row r="65" spans="1:24" x14ac:dyDescent="0.2">
      <c r="A65" t="s">
        <v>192</v>
      </c>
      <c r="C65" t="s">
        <v>300</v>
      </c>
      <c r="D65" t="s">
        <v>292</v>
      </c>
      <c r="E65" t="s">
        <v>194</v>
      </c>
      <c r="F65" s="4">
        <v>158</v>
      </c>
      <c r="G65" s="4">
        <v>90</v>
      </c>
      <c r="H65">
        <v>68</v>
      </c>
      <c r="I65" s="4">
        <v>17</v>
      </c>
      <c r="J65" s="4">
        <v>-4.8</v>
      </c>
      <c r="K65">
        <v>67</v>
      </c>
      <c r="L65">
        <v>109</v>
      </c>
      <c r="M65">
        <v>0.26</v>
      </c>
      <c r="N65">
        <v>0.67</v>
      </c>
      <c r="O65">
        <v>25</v>
      </c>
      <c r="P65">
        <v>1</v>
      </c>
      <c r="Q65">
        <v>12</v>
      </c>
      <c r="R65" s="4">
        <v>10</v>
      </c>
      <c r="S65" s="4">
        <v>20</v>
      </c>
      <c r="T65" s="4">
        <v>0.88</v>
      </c>
      <c r="U65">
        <v>0.1</v>
      </c>
      <c r="V65">
        <v>13</v>
      </c>
      <c r="W65">
        <v>0.12</v>
      </c>
      <c r="X65">
        <v>0.05</v>
      </c>
    </row>
    <row r="66" spans="1:24" x14ac:dyDescent="0.2">
      <c r="A66" t="s">
        <v>210</v>
      </c>
      <c r="C66" t="s">
        <v>301</v>
      </c>
      <c r="D66" t="s">
        <v>292</v>
      </c>
      <c r="E66" t="s">
        <v>212</v>
      </c>
      <c r="F66" s="4">
        <v>171</v>
      </c>
      <c r="G66" s="4">
        <v>100</v>
      </c>
      <c r="H66">
        <v>71</v>
      </c>
      <c r="I66" s="4">
        <v>17</v>
      </c>
      <c r="J66" s="4">
        <v>-4.5999999999999996</v>
      </c>
      <c r="K66">
        <v>66</v>
      </c>
      <c r="L66">
        <v>107</v>
      </c>
      <c r="M66">
        <v>0.25</v>
      </c>
      <c r="N66">
        <v>0.79</v>
      </c>
      <c r="O66">
        <v>27</v>
      </c>
      <c r="P66">
        <v>-6</v>
      </c>
      <c r="Q66">
        <v>14</v>
      </c>
      <c r="R66" s="4">
        <v>10</v>
      </c>
      <c r="S66" s="4">
        <v>19</v>
      </c>
      <c r="T66" s="4">
        <v>0.98</v>
      </c>
      <c r="U66">
        <v>0.08</v>
      </c>
      <c r="V66">
        <v>11</v>
      </c>
      <c r="W66">
        <v>0</v>
      </c>
      <c r="X66">
        <v>0.03</v>
      </c>
    </row>
    <row r="67" spans="1:24" x14ac:dyDescent="0.2">
      <c r="A67" t="s">
        <v>228</v>
      </c>
      <c r="C67" t="s">
        <v>302</v>
      </c>
      <c r="D67" t="s">
        <v>292</v>
      </c>
      <c r="E67" t="s">
        <v>230</v>
      </c>
      <c r="F67" s="4">
        <v>177</v>
      </c>
      <c r="G67" s="4">
        <v>106</v>
      </c>
      <c r="H67">
        <v>71</v>
      </c>
      <c r="I67" s="4">
        <v>18</v>
      </c>
      <c r="J67" s="4">
        <v>-6.2</v>
      </c>
      <c r="K67">
        <v>63</v>
      </c>
      <c r="L67">
        <v>98</v>
      </c>
      <c r="M67">
        <v>0.22</v>
      </c>
      <c r="N67">
        <v>0.66</v>
      </c>
      <c r="O67">
        <v>24</v>
      </c>
      <c r="P67">
        <v>-5</v>
      </c>
      <c r="Q67">
        <v>14</v>
      </c>
      <c r="R67" s="4">
        <v>11</v>
      </c>
      <c r="S67" s="4">
        <v>20</v>
      </c>
      <c r="T67" s="4">
        <v>0.88</v>
      </c>
      <c r="U67">
        <v>0.01</v>
      </c>
      <c r="V67">
        <v>16</v>
      </c>
      <c r="W67">
        <v>0.2</v>
      </c>
      <c r="X67">
        <v>0.02</v>
      </c>
    </row>
    <row r="68" spans="1:24" x14ac:dyDescent="0.2">
      <c r="A68" t="s">
        <v>246</v>
      </c>
      <c r="C68" t="s">
        <v>303</v>
      </c>
      <c r="D68" t="s">
        <v>292</v>
      </c>
      <c r="E68" t="s">
        <v>248</v>
      </c>
      <c r="F68" s="4">
        <v>184</v>
      </c>
      <c r="G68" s="4">
        <v>103</v>
      </c>
      <c r="H68" s="4">
        <v>81</v>
      </c>
      <c r="I68" s="4">
        <v>18</v>
      </c>
      <c r="J68" s="4">
        <v>-6.1</v>
      </c>
      <c r="K68">
        <v>64</v>
      </c>
      <c r="L68">
        <v>102</v>
      </c>
      <c r="M68">
        <v>0.24</v>
      </c>
      <c r="N68">
        <v>0.6</v>
      </c>
      <c r="O68">
        <v>21</v>
      </c>
      <c r="P68">
        <v>-2</v>
      </c>
      <c r="Q68">
        <v>15</v>
      </c>
      <c r="R68" s="4">
        <v>11</v>
      </c>
      <c r="S68" s="4">
        <v>19</v>
      </c>
      <c r="T68" s="4">
        <v>0.93</v>
      </c>
      <c r="U68">
        <v>-0.01</v>
      </c>
      <c r="V68">
        <v>18</v>
      </c>
      <c r="W68">
        <v>0.31</v>
      </c>
      <c r="X68">
        <v>0.02</v>
      </c>
    </row>
    <row r="69" spans="1:24" x14ac:dyDescent="0.2">
      <c r="A69" t="s">
        <v>264</v>
      </c>
      <c r="C69" t="s">
        <v>304</v>
      </c>
      <c r="D69" t="s">
        <v>292</v>
      </c>
      <c r="E69" t="s">
        <v>266</v>
      </c>
      <c r="F69" s="4">
        <v>182</v>
      </c>
      <c r="G69" s="4">
        <v>100</v>
      </c>
      <c r="H69" s="4">
        <v>82</v>
      </c>
      <c r="I69" s="4">
        <v>18</v>
      </c>
      <c r="J69" s="4">
        <v>-5.0999999999999996</v>
      </c>
      <c r="K69">
        <v>69</v>
      </c>
      <c r="L69">
        <v>110</v>
      </c>
      <c r="M69">
        <v>0.25</v>
      </c>
      <c r="N69">
        <v>0.73</v>
      </c>
      <c r="O69">
        <v>22</v>
      </c>
      <c r="P69">
        <v>-2</v>
      </c>
      <c r="Q69">
        <v>13</v>
      </c>
      <c r="R69" s="4">
        <v>11</v>
      </c>
      <c r="S69" s="4">
        <v>19</v>
      </c>
      <c r="T69" s="4">
        <v>0.89</v>
      </c>
      <c r="U69">
        <v>0.06</v>
      </c>
      <c r="V69">
        <v>26</v>
      </c>
      <c r="W69">
        <v>0.24</v>
      </c>
      <c r="X69">
        <v>0.02</v>
      </c>
    </row>
  </sheetData>
  <sortState xmlns:xlrd2="http://schemas.microsoft.com/office/spreadsheetml/2017/richdata2" ref="A5:X79">
    <sortCondition ref="D5:D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Cows</vt:lpstr>
      <vt:lpstr>Bulls</vt:lpstr>
      <vt:lpstr>Owned Semen</vt:lpstr>
      <vt:lpstr>Fall 2025 AI Plans by Cow</vt:lpstr>
      <vt:lpstr>Fall 2025 AI Plans by Bull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Griffis, Stanley</cp:lastModifiedBy>
  <dcterms:created xsi:type="dcterms:W3CDTF">2025-10-11T23:26:58Z</dcterms:created>
  <dcterms:modified xsi:type="dcterms:W3CDTF">2026-09-11T23:31:55Z</dcterms:modified>
</cp:coreProperties>
</file>